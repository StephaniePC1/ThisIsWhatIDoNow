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hih\Downloads\"/>
    </mc:Choice>
  </mc:AlternateContent>
  <xr:revisionPtr revIDLastSave="0" documentId="8_{85FB4C9F-E031-4961-9F3A-5BB81E120EE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Formulas" sheetId="2" r:id="rId2"/>
    <sheet name="Graph" sheetId="3" r:id="rId3"/>
    <sheet name="Fund analysis" sheetId="4" r:id="rId4"/>
  </sheets>
  <calcPr calcId="181029"/>
</workbook>
</file>

<file path=xl/calcChain.xml><?xml version="1.0" encoding="utf-8"?>
<calcChain xmlns="http://schemas.openxmlformats.org/spreadsheetml/2006/main">
  <c r="K26" i="4" l="1"/>
  <c r="M26" i="4"/>
  <c r="L26" i="4"/>
  <c r="M24" i="4"/>
  <c r="L24" i="4"/>
  <c r="M22" i="4"/>
  <c r="L22" i="4"/>
  <c r="K24" i="4"/>
  <c r="K22" i="4"/>
  <c r="C19" i="2"/>
  <c r="D19" i="2"/>
  <c r="E19" i="2"/>
  <c r="F19" i="2"/>
  <c r="D22" i="2"/>
  <c r="E22" i="2"/>
  <c r="F22" i="2"/>
  <c r="C22" i="2"/>
  <c r="C21" i="2"/>
  <c r="D21" i="2"/>
  <c r="E21" i="2"/>
  <c r="F21" i="2"/>
  <c r="C20" i="2"/>
  <c r="D20" i="2"/>
  <c r="E20" i="2"/>
  <c r="F20" i="2"/>
  <c r="F14" i="2"/>
  <c r="F13" i="2"/>
  <c r="F12" i="2"/>
  <c r="E14" i="2"/>
  <c r="E13" i="2"/>
  <c r="E12" i="2"/>
  <c r="C12" i="2"/>
  <c r="D14" i="2"/>
  <c r="D13" i="2"/>
  <c r="D12" i="2"/>
  <c r="C14" i="2"/>
  <c r="C13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AB102" i="2"/>
  <c r="W102" i="2"/>
  <c r="AB101" i="2"/>
  <c r="W101" i="2"/>
  <c r="AB100" i="2"/>
  <c r="W100" i="2"/>
  <c r="AB99" i="2"/>
  <c r="W99" i="2"/>
  <c r="AB98" i="2"/>
  <c r="W98" i="2"/>
  <c r="AB97" i="2"/>
  <c r="W97" i="2"/>
  <c r="AB96" i="2"/>
  <c r="W96" i="2"/>
  <c r="AB95" i="2"/>
  <c r="W95" i="2"/>
  <c r="AB94" i="2"/>
  <c r="W94" i="2"/>
  <c r="AB93" i="2"/>
  <c r="W93" i="2"/>
  <c r="AB92" i="2"/>
  <c r="W92" i="2"/>
  <c r="AB91" i="2"/>
  <c r="W91" i="2"/>
  <c r="AB90" i="2"/>
  <c r="W90" i="2"/>
  <c r="AB89" i="2"/>
  <c r="W89" i="2"/>
  <c r="AB88" i="2"/>
  <c r="W88" i="2"/>
  <c r="AB87" i="2"/>
  <c r="W87" i="2"/>
  <c r="AB86" i="2"/>
  <c r="W86" i="2"/>
  <c r="AB85" i="2"/>
  <c r="W85" i="2"/>
  <c r="AB84" i="2"/>
  <c r="W84" i="2"/>
  <c r="AB83" i="2"/>
  <c r="W83" i="2"/>
  <c r="AB82" i="2"/>
  <c r="W82" i="2"/>
  <c r="AB81" i="2"/>
  <c r="W81" i="2"/>
  <c r="AB80" i="2"/>
  <c r="W80" i="2"/>
  <c r="AB79" i="2"/>
  <c r="W79" i="2"/>
  <c r="AB78" i="2"/>
  <c r="W78" i="2"/>
  <c r="AB77" i="2"/>
  <c r="W77" i="2"/>
  <c r="AB76" i="2"/>
  <c r="W76" i="2"/>
  <c r="AB75" i="2"/>
  <c r="W75" i="2"/>
  <c r="AB74" i="2"/>
  <c r="W74" i="2"/>
  <c r="AB73" i="2"/>
  <c r="W73" i="2"/>
  <c r="AB72" i="2"/>
  <c r="W72" i="2"/>
  <c r="AB71" i="2"/>
  <c r="W71" i="2"/>
  <c r="AB70" i="2"/>
  <c r="W70" i="2"/>
  <c r="AB69" i="2"/>
  <c r="W69" i="2"/>
  <c r="AB68" i="2"/>
  <c r="W68" i="2"/>
  <c r="AB67" i="2"/>
  <c r="W67" i="2"/>
  <c r="AB66" i="2"/>
  <c r="W66" i="2"/>
  <c r="AB65" i="2"/>
  <c r="W65" i="2"/>
  <c r="AB64" i="2"/>
  <c r="W64" i="2"/>
  <c r="AB63" i="2"/>
  <c r="W63" i="2"/>
  <c r="AB62" i="2"/>
  <c r="W62" i="2"/>
  <c r="AB61" i="2"/>
  <c r="W61" i="2"/>
  <c r="AB60" i="2"/>
  <c r="W60" i="2"/>
  <c r="AB59" i="2"/>
  <c r="W59" i="2"/>
  <c r="AB58" i="2"/>
  <c r="W58" i="2"/>
  <c r="AB57" i="2"/>
  <c r="W57" i="2"/>
  <c r="AB56" i="2"/>
  <c r="W56" i="2"/>
  <c r="AB55" i="2"/>
  <c r="W55" i="2"/>
  <c r="AB54" i="2"/>
  <c r="W54" i="2"/>
  <c r="AB53" i="2"/>
  <c r="W53" i="2"/>
  <c r="AB52" i="2"/>
  <c r="W52" i="2"/>
  <c r="AB51" i="2"/>
  <c r="W51" i="2"/>
  <c r="AB50" i="2"/>
  <c r="W50" i="2"/>
  <c r="AB49" i="2"/>
  <c r="W49" i="2"/>
  <c r="AB48" i="2"/>
  <c r="W48" i="2"/>
  <c r="AB47" i="2"/>
  <c r="W47" i="2"/>
  <c r="AB46" i="2"/>
  <c r="W46" i="2"/>
  <c r="AB45" i="2"/>
  <c r="W45" i="2"/>
  <c r="AB44" i="2"/>
  <c r="W44" i="2"/>
  <c r="AB43" i="2"/>
  <c r="W43" i="2"/>
  <c r="AB42" i="2"/>
  <c r="W42" i="2"/>
  <c r="AB41" i="2"/>
  <c r="W41" i="2"/>
  <c r="AB40" i="2"/>
  <c r="W40" i="2"/>
  <c r="AB39" i="2"/>
  <c r="W39" i="2"/>
  <c r="AB38" i="2"/>
  <c r="W38" i="2"/>
  <c r="AB37" i="2"/>
  <c r="W37" i="2"/>
  <c r="AB36" i="2"/>
  <c r="W36" i="2"/>
  <c r="AB35" i="2"/>
  <c r="W35" i="2"/>
  <c r="AB34" i="2"/>
  <c r="W34" i="2"/>
  <c r="AB33" i="2"/>
  <c r="W33" i="2"/>
  <c r="AB32" i="2"/>
  <c r="W32" i="2"/>
  <c r="AB31" i="2"/>
  <c r="W31" i="2"/>
  <c r="AB30" i="2"/>
  <c r="W30" i="2"/>
  <c r="AB29" i="2"/>
  <c r="W29" i="2"/>
  <c r="AB28" i="2"/>
  <c r="W28" i="2"/>
  <c r="AB27" i="2"/>
  <c r="W27" i="2"/>
  <c r="AB26" i="2"/>
  <c r="W26" i="2"/>
  <c r="AB25" i="2"/>
  <c r="W25" i="2"/>
  <c r="AB24" i="2"/>
  <c r="W24" i="2"/>
  <c r="AB23" i="2"/>
  <c r="W23" i="2"/>
  <c r="AB22" i="2"/>
  <c r="W22" i="2"/>
  <c r="AB21" i="2"/>
  <c r="W21" i="2"/>
  <c r="AB20" i="2"/>
  <c r="W20" i="2"/>
  <c r="AB19" i="2"/>
  <c r="W19" i="2"/>
  <c r="E18" i="2"/>
  <c r="F18" i="2" s="1"/>
  <c r="D18" i="2"/>
  <c r="B14" i="2"/>
  <c r="B13" i="2"/>
  <c r="B5" i="2"/>
  <c r="B6" i="2" s="1"/>
  <c r="B7" i="2" s="1"/>
</calcChain>
</file>

<file path=xl/sharedStrings.xml><?xml version="1.0" encoding="utf-8"?>
<sst xmlns="http://schemas.openxmlformats.org/spreadsheetml/2006/main" count="463" uniqueCount="74">
  <si>
    <t>Thank you for your interest in the Private Investments Due Diligence Analyst role.</t>
  </si>
  <si>
    <t>Please follow the instructions on each of the 3 tabs of this excel workbook to complete this excel 'test.'</t>
  </si>
  <si>
    <t>You will have 3 hours. We expect it will take less time than that.</t>
  </si>
  <si>
    <t>Feel free to use google and other online resources.</t>
  </si>
  <si>
    <t>Company</t>
  </si>
  <si>
    <t>Entry Date</t>
  </si>
  <si>
    <t>Exit Date</t>
  </si>
  <si>
    <t>Sector</t>
  </si>
  <si>
    <t>Geography</t>
  </si>
  <si>
    <t>Geography (Clean)</t>
  </si>
  <si>
    <t>Entry Stage</t>
  </si>
  <si>
    <t>Invested Capital</t>
  </si>
  <si>
    <t>Realized Value</t>
  </si>
  <si>
    <t>Unrealized Value</t>
  </si>
  <si>
    <t>Status (Realized vs Unrealized)</t>
  </si>
  <si>
    <t>Total Value</t>
  </si>
  <si>
    <t>Gross MOI</t>
  </si>
  <si>
    <t>Entry Revenue</t>
  </si>
  <si>
    <t>Current Revenue</t>
  </si>
  <si>
    <t>Instructions</t>
  </si>
  <si>
    <t>Fintech</t>
  </si>
  <si>
    <t>Spain</t>
  </si>
  <si>
    <t>Series A</t>
  </si>
  <si>
    <t>Use a SUMIFS function in the light orange cells of Table 1 below to populate each investment activity by entry year</t>
  </si>
  <si>
    <t>NA</t>
  </si>
  <si>
    <t>SaaS</t>
  </si>
  <si>
    <t>China</t>
  </si>
  <si>
    <t>Seed</t>
  </si>
  <si>
    <t>Use a combination of the INDEX function and MATCH function in the light orange cells of Table 2 below to populate the correct data</t>
  </si>
  <si>
    <t>eCommerce</t>
  </si>
  <si>
    <t>USA</t>
  </si>
  <si>
    <t>Series C</t>
  </si>
  <si>
    <t>Write a formula in column W to clean the geography field so that each geography falls into the 3 categories as specificied in Table 3 below (e.g. Spain = Europe)</t>
  </si>
  <si>
    <t>Consumer</t>
  </si>
  <si>
    <t>Series B</t>
  </si>
  <si>
    <t>Write a formula in column AB to denote any investment with 0 unrealized value as "Realized"  and any with remaining unrealized value as "Unrealized"</t>
  </si>
  <si>
    <t>Education</t>
  </si>
  <si>
    <t>Table 1</t>
  </si>
  <si>
    <t>Entry Year</t>
  </si>
  <si>
    <t>Table 2</t>
  </si>
  <si>
    <t>Marketplace</t>
  </si>
  <si>
    <t>Table 3</t>
  </si>
  <si>
    <t>Geography (from data)</t>
  </si>
  <si>
    <t>Europe</t>
  </si>
  <si>
    <t>APAC</t>
  </si>
  <si>
    <t>France</t>
  </si>
  <si>
    <t>Australia</t>
  </si>
  <si>
    <t>Japan</t>
  </si>
  <si>
    <t>Germany</t>
  </si>
  <si>
    <t>India</t>
  </si>
  <si>
    <t>Notional Leverage (LHS)</t>
  </si>
  <si>
    <t>Return Impact (RHS)</t>
  </si>
  <si>
    <t>Recreate the graph below using the data to the right</t>
  </si>
  <si>
    <t>How would you compare and contrast the below 2 funds?</t>
  </si>
  <si>
    <t xml:space="preserve">Be prepared to talk through how you would evaluate each fund and what factors you would consider. </t>
  </si>
  <si>
    <t>Which fund would you rather have been an investor in? Why?</t>
  </si>
  <si>
    <t>What follow up questions would you ask the fund manager?</t>
  </si>
  <si>
    <t>Fund Size: $100mm</t>
  </si>
  <si>
    <t>Fund Size: $1,000mm</t>
  </si>
  <si>
    <t>Fund 1</t>
  </si>
  <si>
    <t>Fund 2</t>
  </si>
  <si>
    <t>Note</t>
  </si>
  <si>
    <t>Date</t>
  </si>
  <si>
    <t>CF</t>
  </si>
  <si>
    <t>Capital Call</t>
  </si>
  <si>
    <t>Distribution</t>
  </si>
  <si>
    <t>Unrealized Value (NAV)</t>
  </si>
  <si>
    <t>IRR</t>
  </si>
  <si>
    <t>TVPI</t>
  </si>
  <si>
    <t>DPI</t>
  </si>
  <si>
    <t>10% Haircut</t>
  </si>
  <si>
    <t xml:space="preserve">20% Haircut </t>
  </si>
  <si>
    <t>30% Haircut</t>
  </si>
  <si>
    <t>Valuation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</si>
</sst>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&quot;x&quot;"/>
    <numFmt numFmtId="167" formatCode="mmm\-yyyy"/>
    <numFmt numFmtId="168" formatCode="0.00\x"/>
    <numFmt numFmtId="169" formatCode="&quot;Company &quot;#"/>
    <numFmt numFmtId="170" formatCode="#,##0;0;\-"/>
    <numFmt numFmtId="171" formatCode="0&quot;)&quot;"/>
    <numFmt numFmtId="175" formatCode="_(* #,##0.0_);_(* \(#,##0.0\);_(* &quot;-&quot;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61616"/>
      <name val="Open Sans"/>
      <family val="2"/>
    </font>
    <font>
      <sz val="11"/>
      <color rgb="FF161616"/>
      <name val="Ope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00567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/>
    <xf numFmtId="9" fontId="1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164" fontId="0" fillId="0" borderId="0" xfId="1" applyNumberFormat="1" applyFont="1"/>
    <xf numFmtId="3" fontId="2" fillId="4" borderId="0" xfId="0" applyNumberFormat="1" applyFont="1" applyFill="1" applyAlignment="1">
      <alignment horizontal="centerContinuous"/>
    </xf>
    <xf numFmtId="0" fontId="0" fillId="3" borderId="0" xfId="0" applyFill="1"/>
    <xf numFmtId="2" fontId="0" fillId="0" borderId="0" xfId="1" applyNumberFormat="1" applyFont="1" applyAlignment="1">
      <alignment horizontal="centerContinuous"/>
    </xf>
    <xf numFmtId="164" fontId="0" fillId="3" borderId="0" xfId="1" applyNumberFormat="1" applyFont="1" applyFill="1"/>
    <xf numFmtId="14" fontId="0" fillId="0" borderId="0" xfId="0" applyNumberFormat="1"/>
    <xf numFmtId="165" fontId="0" fillId="0" borderId="6" xfId="2" applyNumberFormat="1" applyFont="1" applyBorder="1"/>
    <xf numFmtId="166" fontId="0" fillId="0" borderId="4" xfId="1" applyNumberFormat="1" applyFont="1" applyBorder="1"/>
    <xf numFmtId="166" fontId="0" fillId="0" borderId="2" xfId="1" applyNumberFormat="1" applyFont="1" applyBorder="1"/>
    <xf numFmtId="167" fontId="0" fillId="0" borderId="0" xfId="0" applyNumberFormat="1"/>
    <xf numFmtId="168" fontId="0" fillId="0" borderId="0" xfId="0" applyNumberFormat="1"/>
    <xf numFmtId="3" fontId="0" fillId="0" borderId="0" xfId="0" applyNumberFormat="1"/>
    <xf numFmtId="0" fontId="0" fillId="4" borderId="0" xfId="0" applyFill="1" applyAlignment="1">
      <alignment horizontal="centerContinuous"/>
    </xf>
    <xf numFmtId="3" fontId="0" fillId="4" borderId="0" xfId="0" applyNumberFormat="1" applyFill="1" applyAlignment="1">
      <alignment horizontal="centerContinuous"/>
    </xf>
    <xf numFmtId="2" fontId="0" fillId="0" borderId="0" xfId="0" applyNumberFormat="1" applyAlignment="1">
      <alignment horizontal="centerContinuous"/>
    </xf>
    <xf numFmtId="0" fontId="0" fillId="3" borderId="0" xfId="0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9" fontId="3" fillId="2" borderId="0" xfId="2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4" fillId="0" borderId="0" xfId="0" applyFont="1"/>
    <xf numFmtId="169" fontId="6" fillId="0" borderId="0" xfId="0" applyNumberFormat="1" applyFont="1" applyAlignment="1">
      <alignment horizontal="centerContinuous"/>
    </xf>
    <xf numFmtId="170" fontId="0" fillId="0" borderId="0" xfId="0" applyNumberFormat="1"/>
    <xf numFmtId="3" fontId="3" fillId="4" borderId="0" xfId="0" applyNumberFormat="1" applyFont="1" applyFill="1" applyAlignment="1">
      <alignment horizontal="centerContinuous"/>
    </xf>
    <xf numFmtId="0" fontId="5" fillId="4" borderId="0" xfId="0" applyFont="1" applyFill="1" applyAlignment="1">
      <alignment horizontal="centerContinuous"/>
    </xf>
    <xf numFmtId="171" fontId="4" fillId="3" borderId="0" xfId="0" applyNumberFormat="1" applyFont="1" applyFill="1" applyAlignment="1">
      <alignment horizontal="center"/>
    </xf>
    <xf numFmtId="2" fontId="4" fillId="0" borderId="0" xfId="0" applyNumberFormat="1" applyFont="1" applyAlignment="1">
      <alignment horizontal="centerContinuous"/>
    </xf>
    <xf numFmtId="0" fontId="4" fillId="0" borderId="0" xfId="0" applyFont="1" applyAlignment="1">
      <alignment horizontal="center"/>
    </xf>
    <xf numFmtId="1" fontId="3" fillId="4" borderId="0" xfId="0" applyNumberFormat="1" applyFont="1" applyFill="1" applyAlignment="1">
      <alignment horizontal="centerContinuous"/>
    </xf>
    <xf numFmtId="169" fontId="3" fillId="4" borderId="0" xfId="0" applyNumberFormat="1" applyFont="1" applyFill="1" applyAlignment="1">
      <alignment horizontal="centerContinuous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7" fillId="0" borderId="0" xfId="0" applyFont="1" applyAlignment="1">
      <alignment horizontal="centerContinuous"/>
    </xf>
    <xf numFmtId="0" fontId="3" fillId="5" borderId="0" xfId="0" applyFont="1" applyFill="1" applyAlignment="1">
      <alignment horizontal="centerContinuous"/>
    </xf>
    <xf numFmtId="0" fontId="5" fillId="5" borderId="0" xfId="0" applyFont="1" applyFill="1" applyAlignment="1">
      <alignment horizontal="centerContinuous"/>
    </xf>
    <xf numFmtId="0" fontId="3" fillId="6" borderId="0" xfId="0" applyFont="1" applyFill="1" applyAlignment="1">
      <alignment horizontal="centerContinuous"/>
    </xf>
    <xf numFmtId="0" fontId="5" fillId="6" borderId="0" xfId="0" applyFont="1" applyFill="1" applyAlignment="1">
      <alignment horizontal="centerContinuous"/>
    </xf>
    <xf numFmtId="14" fontId="4" fillId="0" borderId="0" xfId="0" applyNumberFormat="1" applyFont="1"/>
    <xf numFmtId="164" fontId="4" fillId="0" borderId="0" xfId="1" applyNumberFormat="1" applyFont="1"/>
    <xf numFmtId="0" fontId="4" fillId="0" borderId="5" xfId="0" applyFont="1" applyBorder="1"/>
    <xf numFmtId="0" fontId="4" fillId="0" borderId="3" xfId="0" applyFont="1" applyBorder="1"/>
    <xf numFmtId="0" fontId="4" fillId="0" borderId="1" xfId="0" applyFont="1" applyBorder="1"/>
    <xf numFmtId="0" fontId="0" fillId="3" borderId="0" xfId="0" applyFill="1" applyAlignment="1">
      <alignment vertical="center"/>
    </xf>
    <xf numFmtId="0" fontId="0" fillId="0" borderId="0" xfId="0" quotePrefix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5" fontId="0" fillId="0" borderId="0" xfId="2" applyNumberFormat="1" applyFont="1"/>
    <xf numFmtId="167" fontId="0" fillId="3" borderId="0" xfId="0" applyNumberFormat="1" applyFill="1" applyAlignment="1">
      <alignment horizontal="center"/>
    </xf>
    <xf numFmtId="175" fontId="0" fillId="0" borderId="0" xfId="0" applyNumberFormat="1"/>
    <xf numFmtId="165" fontId="0" fillId="0" borderId="0" xfId="0" applyNumberFormat="1"/>
    <xf numFmtId="0" fontId="3" fillId="7" borderId="0" xfId="0" applyFont="1" applyFill="1" applyAlignment="1">
      <alignment horizontal="center"/>
    </xf>
    <xf numFmtId="44" fontId="0" fillId="0" borderId="0" xfId="3" applyFont="1"/>
    <xf numFmtId="43" fontId="0" fillId="0" borderId="0" xfId="0" applyNumberFormat="1"/>
    <xf numFmtId="43" fontId="0" fillId="8" borderId="0" xfId="0" applyNumberFormat="1" applyFill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17526368773383E-2"/>
          <c:y val="0.1157407407407407"/>
          <c:w val="0.8696419514730982"/>
          <c:h val="0.7756873281820110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Graph!$R$3</c:f>
              <c:strCache>
                <c:ptCount val="1"/>
                <c:pt idx="0">
                  <c:v>Return Impact (RHS)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Graph!$P$4:$P$42</c:f>
              <c:numCache>
                <c:formatCode>m/d/yyyy</c:formatCode>
                <c:ptCount val="39"/>
                <c:pt idx="0">
                  <c:v>44377</c:v>
                </c:pt>
                <c:pt idx="1">
                  <c:v>44408</c:v>
                </c:pt>
                <c:pt idx="2">
                  <c:v>44439</c:v>
                </c:pt>
                <c:pt idx="3">
                  <c:v>44469</c:v>
                </c:pt>
                <c:pt idx="4">
                  <c:v>44500</c:v>
                </c:pt>
                <c:pt idx="5">
                  <c:v>44530</c:v>
                </c:pt>
                <c:pt idx="6">
                  <c:v>44561</c:v>
                </c:pt>
                <c:pt idx="7">
                  <c:v>44592</c:v>
                </c:pt>
                <c:pt idx="8">
                  <c:v>44620</c:v>
                </c:pt>
                <c:pt idx="9">
                  <c:v>44651</c:v>
                </c:pt>
                <c:pt idx="10">
                  <c:v>44681</c:v>
                </c:pt>
                <c:pt idx="11">
                  <c:v>44712</c:v>
                </c:pt>
                <c:pt idx="12">
                  <c:v>44742</c:v>
                </c:pt>
                <c:pt idx="13">
                  <c:v>44773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44926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45046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45199</c:v>
                </c:pt>
                <c:pt idx="28">
                  <c:v>45230</c:v>
                </c:pt>
                <c:pt idx="29">
                  <c:v>45260</c:v>
                </c:pt>
                <c:pt idx="30">
                  <c:v>45291</c:v>
                </c:pt>
                <c:pt idx="31">
                  <c:v>45322</c:v>
                </c:pt>
                <c:pt idx="32">
                  <c:v>45351</c:v>
                </c:pt>
                <c:pt idx="33">
                  <c:v>45382</c:v>
                </c:pt>
                <c:pt idx="34">
                  <c:v>45412</c:v>
                </c:pt>
                <c:pt idx="35">
                  <c:v>45443</c:v>
                </c:pt>
                <c:pt idx="36">
                  <c:v>45473</c:v>
                </c:pt>
                <c:pt idx="37">
                  <c:v>45504</c:v>
                </c:pt>
                <c:pt idx="38">
                  <c:v>45534</c:v>
                </c:pt>
              </c:numCache>
            </c:numRef>
          </c:cat>
          <c:val>
            <c:numRef>
              <c:f>Graph!$R$4:$R$42</c:f>
              <c:numCache>
                <c:formatCode>0.0%</c:formatCode>
                <c:ptCount val="39"/>
                <c:pt idx="0">
                  <c:v>1.636939999999996E-3</c:v>
                </c:pt>
                <c:pt idx="1">
                  <c:v>-4.34236E-3</c:v>
                </c:pt>
                <c:pt idx="2">
                  <c:v>-2.9209599999999998E-3</c:v>
                </c:pt>
                <c:pt idx="3">
                  <c:v>8.4630400000000015E-3</c:v>
                </c:pt>
                <c:pt idx="4">
                  <c:v>2.8070999999999652E-4</c:v>
                </c:pt>
                <c:pt idx="5">
                  <c:v>4.4323000000000019E-4</c:v>
                </c:pt>
                <c:pt idx="6">
                  <c:v>2.7300499999999999E-3</c:v>
                </c:pt>
                <c:pt idx="7">
                  <c:v>4.0086400000000008E-3</c:v>
                </c:pt>
                <c:pt idx="8">
                  <c:v>-5.8078999999999943E-4</c:v>
                </c:pt>
                <c:pt idx="9">
                  <c:v>1.082260000000002E-3</c:v>
                </c:pt>
                <c:pt idx="10">
                  <c:v>5.0202500000000004E-3</c:v>
                </c:pt>
                <c:pt idx="11">
                  <c:v>-2.2166899999999999E-3</c:v>
                </c:pt>
                <c:pt idx="12">
                  <c:v>5.899210000000002E-3</c:v>
                </c:pt>
                <c:pt idx="13">
                  <c:v>5.1444900000000024E-3</c:v>
                </c:pt>
                <c:pt idx="14">
                  <c:v>4.6213499999999998E-3</c:v>
                </c:pt>
                <c:pt idx="15">
                  <c:v>1.3968E-2</c:v>
                </c:pt>
                <c:pt idx="16">
                  <c:v>-9.9806600000000006E-3</c:v>
                </c:pt>
                <c:pt idx="17">
                  <c:v>2.29802E-3</c:v>
                </c:pt>
                <c:pt idx="18">
                  <c:v>-5.7357600000000003E-3</c:v>
                </c:pt>
                <c:pt idx="19">
                  <c:v>-2.88025E-3</c:v>
                </c:pt>
                <c:pt idx="20">
                  <c:v>-6.1782400000000024E-3</c:v>
                </c:pt>
                <c:pt idx="21">
                  <c:v>6.356839999999999E-3</c:v>
                </c:pt>
                <c:pt idx="22">
                  <c:v>1.481999999999997E-3</c:v>
                </c:pt>
                <c:pt idx="23">
                  <c:v>2.8686700000000042E-3</c:v>
                </c:pt>
                <c:pt idx="24">
                  <c:v>-1.5509800000000069E-3</c:v>
                </c:pt>
                <c:pt idx="25">
                  <c:v>-1.5767400000000001E-3</c:v>
                </c:pt>
                <c:pt idx="26">
                  <c:v>2.1056000000000029E-4</c:v>
                </c:pt>
                <c:pt idx="27">
                  <c:v>9.9143499999999989E-3</c:v>
                </c:pt>
                <c:pt idx="28">
                  <c:v>5.7711099999999986E-3</c:v>
                </c:pt>
                <c:pt idx="29">
                  <c:v>-1.323959999999999E-3</c:v>
                </c:pt>
                <c:pt idx="30">
                  <c:v>-1.0829900000000009E-3</c:v>
                </c:pt>
                <c:pt idx="31">
                  <c:v>1.4725800000000009E-3</c:v>
                </c:pt>
                <c:pt idx="32">
                  <c:v>1.18145E-2</c:v>
                </c:pt>
                <c:pt idx="33">
                  <c:v>3.290929999999997E-3</c:v>
                </c:pt>
                <c:pt idx="34">
                  <c:v>-3.00126E-3</c:v>
                </c:pt>
                <c:pt idx="35">
                  <c:v>-2.38601E-3</c:v>
                </c:pt>
                <c:pt idx="36">
                  <c:v>-4.6576199999999977E-3</c:v>
                </c:pt>
                <c:pt idx="37">
                  <c:v>-1.020458E-2</c:v>
                </c:pt>
                <c:pt idx="38">
                  <c:v>-5.2549000000000172E-4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F-4AF7-B063-6FB6A94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axId val="2081280880"/>
        <c:axId val="2081280400"/>
      </c:barChart>
      <c:lineChart>
        <c:grouping val="stacked"/>
        <c:varyColors val="0"/>
        <c:ser>
          <c:idx val="2"/>
          <c:order val="1"/>
          <c:tx>
            <c:strRef>
              <c:f>Graph!$Q$3</c:f>
              <c:strCache>
                <c:ptCount val="1"/>
                <c:pt idx="0">
                  <c:v>Notional Leverage (LHS)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diamond"/>
            <c:size val="8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numRef>
              <c:f>Graph!$P$4:$P$42</c:f>
              <c:numCache>
                <c:formatCode>m/d/yyyy</c:formatCode>
                <c:ptCount val="39"/>
                <c:pt idx="0">
                  <c:v>44377</c:v>
                </c:pt>
                <c:pt idx="1">
                  <c:v>44408</c:v>
                </c:pt>
                <c:pt idx="2">
                  <c:v>44439</c:v>
                </c:pt>
                <c:pt idx="3">
                  <c:v>44469</c:v>
                </c:pt>
                <c:pt idx="4">
                  <c:v>44500</c:v>
                </c:pt>
                <c:pt idx="5">
                  <c:v>44530</c:v>
                </c:pt>
                <c:pt idx="6">
                  <c:v>44561</c:v>
                </c:pt>
                <c:pt idx="7">
                  <c:v>44592</c:v>
                </c:pt>
                <c:pt idx="8">
                  <c:v>44620</c:v>
                </c:pt>
                <c:pt idx="9">
                  <c:v>44651</c:v>
                </c:pt>
                <c:pt idx="10">
                  <c:v>44681</c:v>
                </c:pt>
                <c:pt idx="11">
                  <c:v>44712</c:v>
                </c:pt>
                <c:pt idx="12">
                  <c:v>44742</c:v>
                </c:pt>
                <c:pt idx="13">
                  <c:v>44773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44926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45046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45199</c:v>
                </c:pt>
                <c:pt idx="28">
                  <c:v>45230</c:v>
                </c:pt>
                <c:pt idx="29">
                  <c:v>45260</c:v>
                </c:pt>
                <c:pt idx="30">
                  <c:v>45291</c:v>
                </c:pt>
                <c:pt idx="31">
                  <c:v>45322</c:v>
                </c:pt>
                <c:pt idx="32">
                  <c:v>45351</c:v>
                </c:pt>
                <c:pt idx="33">
                  <c:v>45382</c:v>
                </c:pt>
                <c:pt idx="34">
                  <c:v>45412</c:v>
                </c:pt>
                <c:pt idx="35">
                  <c:v>45443</c:v>
                </c:pt>
                <c:pt idx="36">
                  <c:v>45473</c:v>
                </c:pt>
                <c:pt idx="37">
                  <c:v>45504</c:v>
                </c:pt>
                <c:pt idx="38">
                  <c:v>45534</c:v>
                </c:pt>
              </c:numCache>
            </c:numRef>
          </c:cat>
          <c:val>
            <c:numRef>
              <c:f>Graph!$Q$4:$Q$42</c:f>
              <c:numCache>
                <c:formatCode>0.0%</c:formatCode>
                <c:ptCount val="39"/>
                <c:pt idx="0">
                  <c:v>0.16251451521163551</c:v>
                </c:pt>
                <c:pt idx="1">
                  <c:v>0.16505562881163199</c:v>
                </c:pt>
                <c:pt idx="2">
                  <c:v>0.17367861921505801</c:v>
                </c:pt>
                <c:pt idx="3">
                  <c:v>0.17401449803694519</c:v>
                </c:pt>
                <c:pt idx="4">
                  <c:v>0.17295336253583729</c:v>
                </c:pt>
                <c:pt idx="5">
                  <c:v>0.17149867803947849</c:v>
                </c:pt>
                <c:pt idx="6">
                  <c:v>0.1729506450031911</c:v>
                </c:pt>
                <c:pt idx="7">
                  <c:v>0.16358102449351669</c:v>
                </c:pt>
                <c:pt idx="8">
                  <c:v>0.15974565725574069</c:v>
                </c:pt>
                <c:pt idx="9">
                  <c:v>0.16212671373691581</c:v>
                </c:pt>
                <c:pt idx="10">
                  <c:v>0.15417834371434061</c:v>
                </c:pt>
                <c:pt idx="11">
                  <c:v>0.23361646601677269</c:v>
                </c:pt>
                <c:pt idx="12">
                  <c:v>0.22042664656333849</c:v>
                </c:pt>
                <c:pt idx="13">
                  <c:v>0.22268921757849289</c:v>
                </c:pt>
                <c:pt idx="14">
                  <c:v>0.2190758781350084</c:v>
                </c:pt>
                <c:pt idx="15">
                  <c:v>0.21123546876666749</c:v>
                </c:pt>
                <c:pt idx="16">
                  <c:v>0.18276077214286121</c:v>
                </c:pt>
                <c:pt idx="17">
                  <c:v>0.1733521669461851</c:v>
                </c:pt>
                <c:pt idx="18">
                  <c:v>0.18951083580742831</c:v>
                </c:pt>
                <c:pt idx="19">
                  <c:v>0.19154884295558999</c:v>
                </c:pt>
                <c:pt idx="20">
                  <c:v>0.19548344042312599</c:v>
                </c:pt>
                <c:pt idx="21">
                  <c:v>0.19526071860723729</c:v>
                </c:pt>
                <c:pt idx="22">
                  <c:v>0.1934846012129206</c:v>
                </c:pt>
                <c:pt idx="23">
                  <c:v>0.19046211636473989</c:v>
                </c:pt>
                <c:pt idx="24">
                  <c:v>0.19739618155033251</c:v>
                </c:pt>
                <c:pt idx="25">
                  <c:v>0.17270014273929241</c:v>
                </c:pt>
                <c:pt idx="26">
                  <c:v>0.19920791100679741</c:v>
                </c:pt>
                <c:pt idx="27">
                  <c:v>0.19113811070731729</c:v>
                </c:pt>
                <c:pt idx="28">
                  <c:v>0.18260975358220499</c:v>
                </c:pt>
                <c:pt idx="29">
                  <c:v>0.17792198655175459</c:v>
                </c:pt>
                <c:pt idx="30">
                  <c:v>0.17926395146222451</c:v>
                </c:pt>
                <c:pt idx="31">
                  <c:v>0.18724037117144779</c:v>
                </c:pt>
                <c:pt idx="32">
                  <c:v>0.2234852444771841</c:v>
                </c:pt>
                <c:pt idx="33">
                  <c:v>0.2108748592607548</c:v>
                </c:pt>
                <c:pt idx="34">
                  <c:v>0.1317074271936953</c:v>
                </c:pt>
                <c:pt idx="35">
                  <c:v>0.1386696228491654</c:v>
                </c:pt>
                <c:pt idx="36">
                  <c:v>0.142261514314759</c:v>
                </c:pt>
                <c:pt idx="37">
                  <c:v>0.14706159422798351</c:v>
                </c:pt>
                <c:pt idx="38">
                  <c:v>0.1523394631184451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7F-4AF7-B063-6FB6A94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264080"/>
        <c:axId val="2081275600"/>
      </c:lineChart>
      <c:dateAx>
        <c:axId val="20812808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81280400"/>
        <c:crosses val="autoZero"/>
        <c:auto val="0"/>
        <c:lblOffset val="100"/>
        <c:baseTimeUnit val="months"/>
      </c:dateAx>
      <c:valAx>
        <c:axId val="2081280400"/>
        <c:scaling>
          <c:orientation val="minMax"/>
          <c:max val="3.0000000000000009E-2"/>
          <c:min val="-3.0000000000000009E-2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1">
                <a:alpha val="34000"/>
                <a:lumMod val="50000"/>
              </a:schemeClr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80880"/>
        <c:crosses val="max"/>
        <c:crossBetween val="between"/>
      </c:valAx>
      <c:dateAx>
        <c:axId val="2081264080"/>
        <c:scaling>
          <c:orientation val="minMax"/>
          <c:min val="44317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75600"/>
        <c:crosses val="autoZero"/>
        <c:auto val="0"/>
        <c:lblOffset val="100"/>
        <c:baseTimeUnit val="months"/>
        <c:majorUnit val="3"/>
        <c:majorTimeUnit val="months"/>
      </c:dateAx>
      <c:valAx>
        <c:axId val="208127560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1">
                <a:alpha val="43000"/>
                <a:lumMod val="50000"/>
              </a:schemeClr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64080"/>
        <c:crosses val="autoZero"/>
        <c:crossBetween val="between"/>
      </c:valAx>
      <c:spPr>
        <a:noFill/>
      </c:spPr>
    </c:plotArea>
    <c:legend>
      <c:legendPos val="b"/>
      <c:layout>
        <c:manualLayout>
          <c:xMode val="edge"/>
          <c:yMode val="edge"/>
          <c:x val="0.29203193506102498"/>
          <c:y val="5.1472490004850463E-2"/>
          <c:w val="0.39404176038114208"/>
          <c:h val="5.3555859260497628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  <a:alpha val="60000"/>
      </a:scheme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</xdr:row>
      <xdr:rowOff>38100</xdr:rowOff>
    </xdr:from>
    <xdr:to>
      <xdr:col>4</xdr:col>
      <xdr:colOff>371475</xdr:colOff>
      <xdr:row>5</xdr:row>
      <xdr:rowOff>101084</xdr:rowOff>
    </xdr:to>
    <xdr:pic>
      <xdr:nvPicPr>
        <xdr:cNvPr id="2" name="Picture 1" descr="J.P. Morgan Private Bank ...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0" y="228600"/>
          <a:ext cx="2238375" cy="82498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571501</xdr:colOff>
      <xdr:row>28</xdr:row>
      <xdr:rowOff>23811</xdr:rowOff>
    </xdr:from>
    <xdr:to>
      <xdr:col>14</xdr:col>
      <xdr:colOff>219075</xdr:colOff>
      <xdr:row>49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543339</xdr:colOff>
      <xdr:row>4</xdr:row>
      <xdr:rowOff>190499</xdr:rowOff>
    </xdr:from>
    <xdr:to>
      <xdr:col>14</xdr:col>
      <xdr:colOff>113661</xdr:colOff>
      <xdr:row>24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3339" y="952499"/>
          <a:ext cx="8104722" cy="3762376"/>
        </a:xfrm>
        <a:prstGeom prst="rect">
          <a:avLst/>
        </a:prstGeom>
        <a:solidFill>
          <a:srgbClr val="F2F2F2"/>
        </a:solidFill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showGridLines="0" workbookViewId="0"/>
  </sheetViews>
  <sheetFormatPr defaultRowHeight="15" x14ac:dyDescent="0.25"/>
  <sheetData>
    <row r="1" spans="1:2" x14ac:dyDescent="0.25">
      <c r="A1" s="47"/>
    </row>
    <row r="9" spans="1:2" x14ac:dyDescent="0.25">
      <c r="B9" t="s">
        <v>0</v>
      </c>
    </row>
    <row r="10" spans="1:2" x14ac:dyDescent="0.25">
      <c r="B10" t="s">
        <v>1</v>
      </c>
    </row>
    <row r="11" spans="1:2" x14ac:dyDescent="0.25">
      <c r="B11" t="s">
        <v>2</v>
      </c>
    </row>
    <row r="12" spans="1:2" x14ac:dyDescent="0.25">
      <c r="B12" t="s">
        <v>3</v>
      </c>
    </row>
    <row r="25" spans="2:2" ht="16.5" customHeight="1" x14ac:dyDescent="0.25">
      <c r="B25" s="49"/>
    </row>
    <row r="26" spans="2:2" ht="16.5" customHeight="1" x14ac:dyDescent="0.25">
      <c r="B26" s="49"/>
    </row>
    <row r="27" spans="2:2" ht="16.5" customHeight="1" x14ac:dyDescent="0.25">
      <c r="B27" s="48"/>
    </row>
    <row r="28" spans="2:2" ht="16.5" customHeight="1" x14ac:dyDescent="0.25">
      <c r="B28" s="49"/>
    </row>
    <row r="29" spans="2:2" ht="16.5" customHeight="1" x14ac:dyDescent="0.25">
      <c r="B29" s="49"/>
    </row>
    <row r="30" spans="2:2" ht="16.5" customHeight="1" x14ac:dyDescent="0.25">
      <c r="B30" s="48"/>
    </row>
    <row r="31" spans="2:2" ht="16.5" customHeight="1" x14ac:dyDescent="0.25">
      <c r="B31" s="49"/>
    </row>
  </sheetData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I102"/>
  <sheetViews>
    <sheetView tabSelected="1" zoomScale="60" zoomScaleNormal="60" workbookViewId="0">
      <selection activeCell="K29" sqref="K29"/>
    </sheetView>
  </sheetViews>
  <sheetFormatPr defaultRowHeight="15" x14ac:dyDescent="0.25"/>
  <cols>
    <col min="2" max="2" width="29.85546875" bestFit="1" customWidth="1"/>
    <col min="3" max="3" width="21.7109375" customWidth="1"/>
    <col min="4" max="4" width="19.85546875" bestFit="1" customWidth="1"/>
    <col min="5" max="5" width="22.28515625" bestFit="1" customWidth="1"/>
    <col min="6" max="6" width="15.85546875" bestFit="1" customWidth="1"/>
    <col min="12" max="17" width="9.140625" customWidth="1"/>
    <col min="18" max="32" width="15.7109375" customWidth="1"/>
    <col min="35" max="35" width="9.140625" style="24" customWidth="1"/>
    <col min="36" max="40" width="9.140625" customWidth="1"/>
  </cols>
  <sheetData>
    <row r="2" spans="2:34" ht="30" customHeight="1" x14ac:dyDescent="0.25">
      <c r="R2" s="22" t="s">
        <v>4</v>
      </c>
      <c r="S2" s="22" t="s">
        <v>5</v>
      </c>
      <c r="T2" s="23" t="s">
        <v>6</v>
      </c>
      <c r="U2" s="23" t="s">
        <v>7</v>
      </c>
      <c r="V2" s="23" t="s">
        <v>8</v>
      </c>
      <c r="W2" s="23" t="s">
        <v>9</v>
      </c>
      <c r="X2" s="23" t="s">
        <v>10</v>
      </c>
      <c r="Y2" s="23" t="s">
        <v>11</v>
      </c>
      <c r="Z2" s="23" t="s">
        <v>12</v>
      </c>
      <c r="AA2" s="23" t="s">
        <v>13</v>
      </c>
      <c r="AB2" s="23" t="s">
        <v>14</v>
      </c>
      <c r="AC2" s="23" t="s">
        <v>15</v>
      </c>
      <c r="AD2" s="23" t="s">
        <v>16</v>
      </c>
      <c r="AE2" s="23" t="s">
        <v>17</v>
      </c>
      <c r="AF2" s="23" t="s">
        <v>18</v>
      </c>
    </row>
    <row r="3" spans="2:34" x14ac:dyDescent="0.25">
      <c r="B3" s="27" t="s">
        <v>19</v>
      </c>
      <c r="C3" s="28"/>
      <c r="D3" s="13"/>
      <c r="E3" s="14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R3" s="25">
        <v>1</v>
      </c>
      <c r="S3" s="10">
        <v>43605</v>
      </c>
      <c r="T3" s="10">
        <v>44404</v>
      </c>
      <c r="U3" t="s">
        <v>20</v>
      </c>
      <c r="V3" t="s">
        <v>21</v>
      </c>
      <c r="W3" s="46" t="str">
        <f t="shared" ref="W3:W18" si="0">IFERROR(INDEX($C$28:$C$35, MATCH(V3, $B$28:$B$35, 0)), "")</f>
        <v>Europe</v>
      </c>
      <c r="X3" s="26" t="s">
        <v>22</v>
      </c>
      <c r="Y3" s="1">
        <v>1976864</v>
      </c>
      <c r="Z3" s="1">
        <v>3048008</v>
      </c>
      <c r="AA3" s="1">
        <v>0</v>
      </c>
      <c r="AB3" s="46" t="str">
        <f t="shared" ref="AB3:AB18" si="1">IF($AA3=0, "Realized", "Unrealized")</f>
        <v>Realized</v>
      </c>
      <c r="AC3" s="1">
        <v>3048008</v>
      </c>
      <c r="AD3" s="11">
        <v>1.541840005179921</v>
      </c>
      <c r="AE3" s="1">
        <v>4008015</v>
      </c>
      <c r="AF3" s="1">
        <v>46771778</v>
      </c>
      <c r="AH3" s="12"/>
    </row>
    <row r="4" spans="2:34" x14ac:dyDescent="0.25">
      <c r="B4" s="29">
        <v>1</v>
      </c>
      <c r="C4" s="3" t="s">
        <v>23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R4" s="25">
        <v>2</v>
      </c>
      <c r="S4" s="10">
        <v>43948</v>
      </c>
      <c r="T4" s="10" t="s">
        <v>24</v>
      </c>
      <c r="U4" t="s">
        <v>25</v>
      </c>
      <c r="V4" t="s">
        <v>26</v>
      </c>
      <c r="W4" s="46" t="str">
        <f t="shared" si="0"/>
        <v>APAC</v>
      </c>
      <c r="X4" s="26" t="s">
        <v>27</v>
      </c>
      <c r="Y4" s="1">
        <v>2776306</v>
      </c>
      <c r="Z4" s="1">
        <v>0</v>
      </c>
      <c r="AA4" s="1">
        <v>1907433</v>
      </c>
      <c r="AB4" s="46" t="str">
        <f t="shared" si="1"/>
        <v>Unrealized</v>
      </c>
      <c r="AC4" s="1">
        <v>1907433</v>
      </c>
      <c r="AD4" s="11">
        <v>0.68703990122126313</v>
      </c>
      <c r="AE4" s="1">
        <v>0</v>
      </c>
      <c r="AF4" s="1">
        <v>2880593</v>
      </c>
    </row>
    <row r="5" spans="2:34" x14ac:dyDescent="0.25">
      <c r="B5" s="29">
        <f>B4+1</f>
        <v>2</v>
      </c>
      <c r="C5" s="3" t="s">
        <v>28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R5" s="25">
        <v>3</v>
      </c>
      <c r="S5" s="10">
        <v>43865</v>
      </c>
      <c r="T5" s="10" t="s">
        <v>24</v>
      </c>
      <c r="U5" t="s">
        <v>29</v>
      </c>
      <c r="V5" t="s">
        <v>30</v>
      </c>
      <c r="W5" s="46" t="str">
        <f t="shared" si="0"/>
        <v>USA</v>
      </c>
      <c r="X5" s="26" t="s">
        <v>31</v>
      </c>
      <c r="Y5" s="1">
        <v>3251881</v>
      </c>
      <c r="Z5" s="1">
        <v>1859618</v>
      </c>
      <c r="AA5" s="1">
        <v>1024958</v>
      </c>
      <c r="AB5" s="46" t="str">
        <f t="shared" si="1"/>
        <v>Unrealized</v>
      </c>
      <c r="AC5" s="1">
        <v>2884576</v>
      </c>
      <c r="AD5" s="11">
        <v>0.8870484498048975</v>
      </c>
      <c r="AE5" s="1">
        <v>0</v>
      </c>
      <c r="AF5" s="1">
        <v>2806788</v>
      </c>
    </row>
    <row r="6" spans="2:34" x14ac:dyDescent="0.25">
      <c r="B6" s="29">
        <f>B5+1</f>
        <v>3</v>
      </c>
      <c r="C6" s="3" t="s">
        <v>32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R6" s="25">
        <v>4</v>
      </c>
      <c r="S6" s="10">
        <v>43729</v>
      </c>
      <c r="T6" s="10">
        <v>45083</v>
      </c>
      <c r="U6" t="s">
        <v>33</v>
      </c>
      <c r="V6" t="s">
        <v>30</v>
      </c>
      <c r="W6" s="46" t="str">
        <f t="shared" si="0"/>
        <v>USA</v>
      </c>
      <c r="X6" s="26" t="s">
        <v>34</v>
      </c>
      <c r="Y6" s="1">
        <v>3160401</v>
      </c>
      <c r="Z6" s="1">
        <v>471397</v>
      </c>
      <c r="AA6" s="1">
        <v>0</v>
      </c>
      <c r="AB6" s="46" t="str">
        <f t="shared" si="1"/>
        <v>Realized</v>
      </c>
      <c r="AC6" s="1">
        <v>471397</v>
      </c>
      <c r="AD6" s="11">
        <v>0.14915733794540631</v>
      </c>
      <c r="AE6" s="1">
        <v>1217527</v>
      </c>
      <c r="AF6" s="1">
        <v>56979856</v>
      </c>
    </row>
    <row r="7" spans="2:34" x14ac:dyDescent="0.25">
      <c r="B7" s="29">
        <f>B6+1</f>
        <v>4</v>
      </c>
      <c r="C7" s="3" t="s">
        <v>35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R7" s="25">
        <v>5</v>
      </c>
      <c r="S7" s="10">
        <v>43946</v>
      </c>
      <c r="T7" s="10">
        <v>44857</v>
      </c>
      <c r="U7" t="s">
        <v>25</v>
      </c>
      <c r="V7" t="s">
        <v>30</v>
      </c>
      <c r="W7" s="46" t="str">
        <f t="shared" si="0"/>
        <v>USA</v>
      </c>
      <c r="X7" s="26" t="s">
        <v>27</v>
      </c>
      <c r="Y7" s="1">
        <v>3012675</v>
      </c>
      <c r="Z7" s="1">
        <v>4265746</v>
      </c>
      <c r="AA7" s="1">
        <v>0</v>
      </c>
      <c r="AB7" s="46" t="str">
        <f t="shared" si="1"/>
        <v>Realized</v>
      </c>
      <c r="AC7" s="1">
        <v>4265746</v>
      </c>
      <c r="AD7" s="11">
        <v>1.4159330163393</v>
      </c>
      <c r="AE7" s="1">
        <v>0</v>
      </c>
      <c r="AF7" s="1">
        <v>3638020</v>
      </c>
    </row>
    <row r="8" spans="2:34" x14ac:dyDescent="0.25">
      <c r="D8" s="12"/>
      <c r="E8" s="1"/>
      <c r="F8" s="1"/>
      <c r="R8" s="25">
        <v>6</v>
      </c>
      <c r="S8" s="10">
        <v>43977</v>
      </c>
      <c r="T8" s="10" t="s">
        <v>24</v>
      </c>
      <c r="U8" t="s">
        <v>36</v>
      </c>
      <c r="V8" t="s">
        <v>30</v>
      </c>
      <c r="W8" s="46" t="str">
        <f t="shared" si="0"/>
        <v>USA</v>
      </c>
      <c r="X8" s="26" t="s">
        <v>31</v>
      </c>
      <c r="Y8" s="1">
        <v>2266340</v>
      </c>
      <c r="Z8" s="1">
        <v>1649151</v>
      </c>
      <c r="AA8" s="1">
        <v>766675</v>
      </c>
      <c r="AB8" s="46" t="str">
        <f t="shared" si="1"/>
        <v>Unrealized</v>
      </c>
      <c r="AC8" s="1">
        <v>2415826</v>
      </c>
      <c r="AD8" s="11">
        <v>1.0659592117687551</v>
      </c>
      <c r="AE8" s="1">
        <v>23371616</v>
      </c>
      <c r="AF8" s="1">
        <v>93836280</v>
      </c>
    </row>
    <row r="9" spans="2:34" x14ac:dyDescent="0.25">
      <c r="D9" s="12"/>
      <c r="E9" s="1"/>
      <c r="F9" s="1"/>
      <c r="R9" s="25">
        <v>7</v>
      </c>
      <c r="S9" s="10">
        <v>44084</v>
      </c>
      <c r="T9" s="10">
        <v>45035</v>
      </c>
      <c r="U9" t="s">
        <v>29</v>
      </c>
      <c r="V9" t="s">
        <v>30</v>
      </c>
      <c r="W9" s="46" t="str">
        <f t="shared" si="0"/>
        <v>USA</v>
      </c>
      <c r="X9" s="26" t="s">
        <v>27</v>
      </c>
      <c r="Y9" s="1">
        <v>1979514</v>
      </c>
      <c r="Z9" s="1">
        <v>4194763</v>
      </c>
      <c r="AA9" s="1">
        <v>0</v>
      </c>
      <c r="AB9" s="46" t="str">
        <f t="shared" si="1"/>
        <v>Realized</v>
      </c>
      <c r="AC9" s="1">
        <v>4194763</v>
      </c>
      <c r="AD9" s="11">
        <v>2.1190873113299529</v>
      </c>
      <c r="AE9" s="1">
        <v>0</v>
      </c>
      <c r="AF9" s="1">
        <v>2312498</v>
      </c>
    </row>
    <row r="10" spans="2:34" x14ac:dyDescent="0.25">
      <c r="B10" s="30" t="s">
        <v>37</v>
      </c>
      <c r="C10" s="15"/>
      <c r="D10" s="15"/>
      <c r="E10" s="4"/>
      <c r="F10" s="4"/>
      <c r="R10" s="25">
        <v>8</v>
      </c>
      <c r="S10" s="10">
        <v>44093</v>
      </c>
      <c r="T10" s="10">
        <v>44769</v>
      </c>
      <c r="U10" t="s">
        <v>36</v>
      </c>
      <c r="V10" t="s">
        <v>26</v>
      </c>
      <c r="W10" s="46" t="str">
        <f t="shared" si="0"/>
        <v>APAC</v>
      </c>
      <c r="X10" s="26" t="s">
        <v>34</v>
      </c>
      <c r="Y10" s="1">
        <v>2093154</v>
      </c>
      <c r="Z10" s="1">
        <v>568320</v>
      </c>
      <c r="AA10" s="1">
        <v>0</v>
      </c>
      <c r="AB10" s="46" t="str">
        <f t="shared" si="1"/>
        <v>Realized</v>
      </c>
      <c r="AC10" s="1">
        <v>568320</v>
      </c>
      <c r="AD10" s="11">
        <v>0.27151370611049158</v>
      </c>
      <c r="AE10" s="1">
        <v>18694825</v>
      </c>
      <c r="AF10" s="1">
        <v>73247200</v>
      </c>
    </row>
    <row r="11" spans="2:34" x14ac:dyDescent="0.25">
      <c r="B11" s="31" t="s">
        <v>38</v>
      </c>
      <c r="C11" s="27" t="s">
        <v>11</v>
      </c>
      <c r="D11" s="27" t="s">
        <v>12</v>
      </c>
      <c r="E11" s="27" t="s">
        <v>13</v>
      </c>
      <c r="F11" s="27" t="s">
        <v>15</v>
      </c>
      <c r="R11" s="25">
        <v>9</v>
      </c>
      <c r="S11" s="10">
        <v>44050</v>
      </c>
      <c r="T11" s="10" t="s">
        <v>24</v>
      </c>
      <c r="U11" t="s">
        <v>25</v>
      </c>
      <c r="V11" t="s">
        <v>30</v>
      </c>
      <c r="W11" s="46" t="str">
        <f t="shared" si="0"/>
        <v>USA</v>
      </c>
      <c r="X11" s="26" t="s">
        <v>31</v>
      </c>
      <c r="Y11" s="1">
        <v>1682427</v>
      </c>
      <c r="Z11" s="1">
        <v>4828911</v>
      </c>
      <c r="AA11" s="1">
        <v>1813177</v>
      </c>
      <c r="AB11" s="46" t="str">
        <f t="shared" si="1"/>
        <v>Unrealized</v>
      </c>
      <c r="AC11" s="1">
        <v>6642088</v>
      </c>
      <c r="AD11" s="11">
        <v>3.947920474409885</v>
      </c>
      <c r="AE11" s="1">
        <v>29423862</v>
      </c>
      <c r="AF11" s="1">
        <v>68307040</v>
      </c>
    </row>
    <row r="12" spans="2:34" x14ac:dyDescent="0.25">
      <c r="B12" s="32">
        <v>2019</v>
      </c>
      <c r="C12" s="5">
        <f>SUMIFS($Y$3:$Y$1048576,$S$3:$S$1048576,"&gt;="&amp;DATE($B12,1,1),$S$3:$S$1048576,"&lt;"&amp;DATE($B13,1,1))</f>
        <v>134256902</v>
      </c>
      <c r="D12" s="5">
        <f>SUMIFS($Z$3:$Z$1048576,$S$3:$S$1048576,"&gt;="&amp;DATE($B12,1,1),$S$3:$S$1048576,"&lt;"&amp;DATE($B12+1,1,1))</f>
        <v>96270251</v>
      </c>
      <c r="E12" s="5">
        <f>SUMIFS(AA3:AA102,S3:S102,"&gt;"&amp;DATE(B12,1,1),S3:S102,"&lt;"&amp;DATE(B13,1,1))</f>
        <v>60653114</v>
      </c>
      <c r="F12" s="5">
        <f>SUMIFS(AC3:AC102,S3:S102,"&gt;"&amp;DATE(B12,1,1),S3:S102,"&lt;"&amp;DATE(B13,1,1))</f>
        <v>156923365</v>
      </c>
      <c r="R12" s="25">
        <v>10</v>
      </c>
      <c r="S12" s="10">
        <v>44214</v>
      </c>
      <c r="T12" s="10" t="s">
        <v>24</v>
      </c>
      <c r="U12" t="s">
        <v>25</v>
      </c>
      <c r="V12" t="s">
        <v>30</v>
      </c>
      <c r="W12" s="46" t="str">
        <f t="shared" si="0"/>
        <v>USA</v>
      </c>
      <c r="X12" s="26" t="s">
        <v>31</v>
      </c>
      <c r="Y12" s="1">
        <v>2984221</v>
      </c>
      <c r="Z12" s="1">
        <v>0</v>
      </c>
      <c r="AA12" s="1">
        <v>4402041</v>
      </c>
      <c r="AB12" s="46" t="str">
        <f t="shared" si="1"/>
        <v>Unrealized</v>
      </c>
      <c r="AC12" s="1">
        <v>4402041</v>
      </c>
      <c r="AD12" s="11">
        <v>1.4751055635624839</v>
      </c>
      <c r="AE12" s="1">
        <v>18703280</v>
      </c>
      <c r="AF12" s="1">
        <v>48968290</v>
      </c>
    </row>
    <row r="13" spans="2:34" x14ac:dyDescent="0.25">
      <c r="B13" s="32">
        <f>B12+1</f>
        <v>2020</v>
      </c>
      <c r="C13" s="5">
        <f>SUMIFS($Y$3:$Y$1048576,$S$3:$S$1048576,"&gt;="&amp;DATE($B13,1,1),$S$3:$S$1048576,"&lt;"&amp;DATE($B14,1,1))</f>
        <v>137165163</v>
      </c>
      <c r="D13" s="5">
        <f>SUMIFS($Z$3:$Z$1048576,$S$3:$S$1048576,"&gt;="&amp;DATE($B13,1,1),$S$3:$S$1048576,"&lt;"&amp;DATE($B13+1,1,1))</f>
        <v>96848079</v>
      </c>
      <c r="E13" s="5">
        <f>SUMIFS(AA3:AA102,S3:S102,"&gt;"&amp;DATE(B13,1,1),S3:S102,"&lt;"&amp;DATE(B14,1,1))</f>
        <v>63671913</v>
      </c>
      <c r="F13" s="5">
        <f>SUMIFS(AC3:AC102,S3:S102,"&gt;"&amp;DATE(B13,1,1),S3:S102,"&lt;"&amp;DATE(B14,1,1))</f>
        <v>160519992</v>
      </c>
      <c r="R13" s="25">
        <v>11</v>
      </c>
      <c r="S13" s="10">
        <v>43734</v>
      </c>
      <c r="T13" s="10" t="s">
        <v>24</v>
      </c>
      <c r="U13" t="s">
        <v>20</v>
      </c>
      <c r="V13" t="s">
        <v>21</v>
      </c>
      <c r="W13" s="46" t="str">
        <f t="shared" si="0"/>
        <v>Europe</v>
      </c>
      <c r="X13" s="26" t="s">
        <v>27</v>
      </c>
      <c r="Y13" s="1">
        <v>2058608</v>
      </c>
      <c r="Z13" s="1">
        <v>1868202</v>
      </c>
      <c r="AA13" s="1">
        <v>476127</v>
      </c>
      <c r="AB13" s="46" t="str">
        <f t="shared" si="1"/>
        <v>Unrealized</v>
      </c>
      <c r="AC13" s="1">
        <v>2344329</v>
      </c>
      <c r="AD13" s="11">
        <v>1.138793301104436</v>
      </c>
      <c r="AE13" s="1">
        <v>0</v>
      </c>
      <c r="AF13" s="1">
        <v>1560192</v>
      </c>
    </row>
    <row r="14" spans="2:34" x14ac:dyDescent="0.25">
      <c r="B14" s="32">
        <f>B13+1</f>
        <v>2021</v>
      </c>
      <c r="C14" s="5">
        <f>SUMIFS($Y$3:$Y$1048576,$S$3:$S$1048576,"&gt;="&amp;DATE($B14,1,1),$S$3:$S$1048576,"&lt;"&amp;DATE($B14+1,1,1))</f>
        <v>20930762</v>
      </c>
      <c r="D14" s="5">
        <f>SUMIFS($Z$3:$Z$1048576,$S$3:$S$1048576,"&gt;="&amp;DATE($B14,1,1),$S$3:$S$1048576,"&lt;"&amp;DATE($B14+1,1,1))</f>
        <v>22896929</v>
      </c>
      <c r="E14" s="5">
        <f>SUMIFS(AA3:AA102,S3:S102,"&gt;"&amp;DATE(B14,1,1),S3:S102,"&lt;"&amp;DATE(B14+1,1,1))</f>
        <v>23082527</v>
      </c>
      <c r="F14" s="5">
        <f>SUMIFS(AC3:AC102,S3:S102,"&gt;"&amp;DATE(B14,1,1),S3:S102,"&lt;"&amp;DATE(B14+1,1,1))</f>
        <v>45979456</v>
      </c>
      <c r="R14" s="25">
        <v>12</v>
      </c>
      <c r="S14" s="10">
        <v>44149</v>
      </c>
      <c r="T14" s="10" t="s">
        <v>24</v>
      </c>
      <c r="U14" t="s">
        <v>20</v>
      </c>
      <c r="V14" t="s">
        <v>30</v>
      </c>
      <c r="W14" s="46" t="str">
        <f t="shared" si="0"/>
        <v>USA</v>
      </c>
      <c r="X14" s="26" t="s">
        <v>27</v>
      </c>
      <c r="Y14" s="1">
        <v>1549150</v>
      </c>
      <c r="Z14" s="1">
        <v>0</v>
      </c>
      <c r="AA14" s="1">
        <v>2963294</v>
      </c>
      <c r="AB14" s="46" t="str">
        <f t="shared" si="1"/>
        <v>Unrealized</v>
      </c>
      <c r="AC14" s="1">
        <v>2963294</v>
      </c>
      <c r="AD14" s="11">
        <v>1.9128515637607719</v>
      </c>
      <c r="AE14" s="1">
        <v>0</v>
      </c>
      <c r="AF14" s="1">
        <v>2616479</v>
      </c>
    </row>
    <row r="15" spans="2:34" x14ac:dyDescent="0.25">
      <c r="B15" s="24"/>
      <c r="R15" s="25">
        <v>13</v>
      </c>
      <c r="S15" s="10">
        <v>44093</v>
      </c>
      <c r="T15" s="10" t="s">
        <v>24</v>
      </c>
      <c r="U15" t="s">
        <v>25</v>
      </c>
      <c r="V15" t="s">
        <v>30</v>
      </c>
      <c r="W15" s="46" t="str">
        <f t="shared" si="0"/>
        <v>USA</v>
      </c>
      <c r="X15" s="26" t="s">
        <v>27</v>
      </c>
      <c r="Y15" s="1">
        <v>3481158</v>
      </c>
      <c r="Z15" s="1">
        <v>0</v>
      </c>
      <c r="AA15" s="1">
        <v>4986632</v>
      </c>
      <c r="AB15" s="46" t="str">
        <f t="shared" si="1"/>
        <v>Unrealized</v>
      </c>
      <c r="AC15" s="1">
        <v>4986632</v>
      </c>
      <c r="AD15" s="11">
        <v>1.4324635652848849</v>
      </c>
      <c r="AE15" s="1">
        <v>0</v>
      </c>
      <c r="AF15" s="1">
        <v>3055740</v>
      </c>
    </row>
    <row r="16" spans="2:34" x14ac:dyDescent="0.25">
      <c r="B16" s="24"/>
      <c r="R16" s="25">
        <v>14</v>
      </c>
      <c r="S16" s="10">
        <v>43726</v>
      </c>
      <c r="T16" s="10" t="s">
        <v>24</v>
      </c>
      <c r="U16" t="s">
        <v>33</v>
      </c>
      <c r="V16" t="s">
        <v>30</v>
      </c>
      <c r="W16" s="46" t="str">
        <f t="shared" si="0"/>
        <v>USA</v>
      </c>
      <c r="X16" s="26" t="s">
        <v>22</v>
      </c>
      <c r="Y16" s="1">
        <v>1093338</v>
      </c>
      <c r="Z16" s="1">
        <v>0</v>
      </c>
      <c r="AA16" s="1">
        <v>374186</v>
      </c>
      <c r="AB16" s="46" t="str">
        <f t="shared" si="1"/>
        <v>Unrealized</v>
      </c>
      <c r="AC16" s="1">
        <v>374186</v>
      </c>
      <c r="AD16" s="11">
        <v>0.34224183189461999</v>
      </c>
      <c r="AE16" s="1">
        <v>1281384</v>
      </c>
      <c r="AF16" s="1">
        <v>28655235</v>
      </c>
    </row>
    <row r="17" spans="2:32" x14ac:dyDescent="0.25">
      <c r="B17" s="30" t="s">
        <v>39</v>
      </c>
      <c r="C17" s="15"/>
      <c r="D17" s="15"/>
      <c r="E17" s="4"/>
      <c r="F17" s="4"/>
      <c r="R17" s="25">
        <v>15</v>
      </c>
      <c r="S17" s="10">
        <v>44029</v>
      </c>
      <c r="T17" s="10" t="s">
        <v>24</v>
      </c>
      <c r="U17" t="s">
        <v>40</v>
      </c>
      <c r="V17" t="s">
        <v>30</v>
      </c>
      <c r="W17" s="46" t="str">
        <f t="shared" si="0"/>
        <v>USA</v>
      </c>
      <c r="X17" s="26" t="s">
        <v>27</v>
      </c>
      <c r="Y17" s="1">
        <v>3038998</v>
      </c>
      <c r="Z17" s="1">
        <v>1451351</v>
      </c>
      <c r="AA17" s="1">
        <v>4408451</v>
      </c>
      <c r="AB17" s="46" t="str">
        <f t="shared" si="1"/>
        <v>Unrealized</v>
      </c>
      <c r="AC17" s="1">
        <v>5859802</v>
      </c>
      <c r="AD17" s="11">
        <v>1.92820199289371</v>
      </c>
      <c r="AE17" s="1">
        <v>0</v>
      </c>
      <c r="AF17" s="1">
        <v>2527476</v>
      </c>
    </row>
    <row r="18" spans="2:32" x14ac:dyDescent="0.25">
      <c r="B18" s="31"/>
      <c r="C18" s="33">
        <v>1</v>
      </c>
      <c r="D18" s="33">
        <f>C18+1</f>
        <v>2</v>
      </c>
      <c r="E18" s="33">
        <f>D18+1</f>
        <v>3</v>
      </c>
      <c r="F18" s="33">
        <f>E18+1</f>
        <v>4</v>
      </c>
      <c r="R18" s="25">
        <v>16</v>
      </c>
      <c r="S18" s="10">
        <v>43873</v>
      </c>
      <c r="T18" s="10" t="s">
        <v>24</v>
      </c>
      <c r="U18" t="s">
        <v>36</v>
      </c>
      <c r="V18" t="s">
        <v>26</v>
      </c>
      <c r="W18" s="46" t="str">
        <f t="shared" si="0"/>
        <v>APAC</v>
      </c>
      <c r="X18" s="26" t="s">
        <v>22</v>
      </c>
      <c r="Y18" s="1">
        <v>1466897</v>
      </c>
      <c r="Z18" s="1">
        <v>2696513</v>
      </c>
      <c r="AA18" s="1">
        <v>4921437</v>
      </c>
      <c r="AB18" s="46" t="str">
        <f t="shared" si="1"/>
        <v>Unrealized</v>
      </c>
      <c r="AC18" s="1">
        <v>7617950</v>
      </c>
      <c r="AD18" s="11">
        <v>5.193241243250208</v>
      </c>
      <c r="AE18" s="1">
        <v>3774972</v>
      </c>
      <c r="AF18" s="1">
        <v>7577018</v>
      </c>
    </row>
    <row r="19" spans="2:32" x14ac:dyDescent="0.25">
      <c r="B19" s="33" t="s">
        <v>5</v>
      </c>
      <c r="C19" s="51">
        <f>IFERROR(INDEX($R$3:$AF$102, MATCH(C18, $R$3:$R$102, 0), MATCH($B19, $R$2:$AF$2, 0)), "")</f>
        <v>43605</v>
      </c>
      <c r="D19" s="51">
        <f t="shared" ref="D19:F19" si="2">IFERROR(INDEX($R$3:$AF$102, MATCH(D18, $R$3:$R$102, 0), MATCH($B19, $R$2:$AF$2, 0)), "")</f>
        <v>43948</v>
      </c>
      <c r="E19" s="51">
        <f t="shared" si="2"/>
        <v>43865</v>
      </c>
      <c r="F19" s="51">
        <f t="shared" si="2"/>
        <v>43729</v>
      </c>
      <c r="R19" s="25">
        <v>17</v>
      </c>
      <c r="S19" s="10">
        <v>43805</v>
      </c>
      <c r="T19" s="10" t="s">
        <v>24</v>
      </c>
      <c r="U19" t="s">
        <v>29</v>
      </c>
      <c r="V19" t="s">
        <v>30</v>
      </c>
      <c r="W19" s="46" t="str">
        <f t="shared" ref="W19:W50" si="3">IFERROR(INDEX($C$28:$C$35, MATCH(V19, $B$28:$B$35, 0)), "")</f>
        <v>USA</v>
      </c>
      <c r="X19" s="26" t="s">
        <v>22</v>
      </c>
      <c r="Y19" s="1">
        <v>4867435</v>
      </c>
      <c r="Z19" s="1">
        <v>4074250</v>
      </c>
      <c r="AA19" s="1">
        <v>4671211</v>
      </c>
      <c r="AB19" s="46" t="str">
        <f t="shared" ref="AB19:AB50" si="4">IF($AA19=0, "Realized", "Unrealized")</f>
        <v>Unrealized</v>
      </c>
      <c r="AC19" s="1">
        <v>8745461</v>
      </c>
      <c r="AD19" s="11">
        <v>1.796728872599223</v>
      </c>
      <c r="AE19" s="1">
        <v>6804751</v>
      </c>
      <c r="AF19" s="1">
        <v>30555703</v>
      </c>
    </row>
    <row r="20" spans="2:32" x14ac:dyDescent="0.25">
      <c r="B20" s="33" t="s">
        <v>7</v>
      </c>
      <c r="C20" s="16" t="str">
        <f>IFERROR(INDEX($R$3:$AF$102, MATCH(C18, $R$3:$R$102, 0), MATCH($B20, $R$2:$AF$2, 0)), "")</f>
        <v>Fintech</v>
      </c>
      <c r="D20" s="16" t="str">
        <f t="shared" ref="D20:F20" si="5">IFERROR(INDEX($R$3:$AF$102, MATCH(D18, $R$3:$R$102, 0), MATCH($B20, $R$2:$AF$2, 0)), "")</f>
        <v>SaaS</v>
      </c>
      <c r="E20" s="16" t="str">
        <f t="shared" si="5"/>
        <v>eCommerce</v>
      </c>
      <c r="F20" s="16" t="str">
        <f t="shared" si="5"/>
        <v>Consumer</v>
      </c>
      <c r="R20" s="25">
        <v>18</v>
      </c>
      <c r="S20" s="10">
        <v>44155</v>
      </c>
      <c r="T20" s="10" t="s">
        <v>24</v>
      </c>
      <c r="U20" t="s">
        <v>25</v>
      </c>
      <c r="V20" t="s">
        <v>21</v>
      </c>
      <c r="W20" s="46" t="str">
        <f t="shared" si="3"/>
        <v>Europe</v>
      </c>
      <c r="X20" s="26" t="s">
        <v>22</v>
      </c>
      <c r="Y20" s="1">
        <v>1423458</v>
      </c>
      <c r="Z20" s="1">
        <v>0</v>
      </c>
      <c r="AA20" s="1">
        <v>1792314</v>
      </c>
      <c r="AB20" s="46" t="str">
        <f t="shared" si="4"/>
        <v>Unrealized</v>
      </c>
      <c r="AC20" s="1">
        <v>1792314</v>
      </c>
      <c r="AD20" s="11">
        <v>1.2591267181750361</v>
      </c>
      <c r="AE20" s="1">
        <v>8683612</v>
      </c>
      <c r="AF20" s="1">
        <v>24374487</v>
      </c>
    </row>
    <row r="21" spans="2:32" x14ac:dyDescent="0.25">
      <c r="B21" s="33" t="s">
        <v>10</v>
      </c>
      <c r="C21" s="16" t="str">
        <f>IFERROR(INDEX($R$3:$AF$102, MATCH(C18, $R$3:$R$102, 0), MATCH($B21, $R$2:$AF$2, 0)), "")</f>
        <v>Series A</v>
      </c>
      <c r="D21" s="16" t="str">
        <f t="shared" ref="D21:F21" si="6">IFERROR(INDEX($R$3:$AF$102, MATCH(D18, $R$3:$R$102, 0), MATCH($B21, $R$2:$AF$2, 0)), "")</f>
        <v>Seed</v>
      </c>
      <c r="E21" s="16" t="str">
        <f t="shared" si="6"/>
        <v>Series C</v>
      </c>
      <c r="F21" s="16" t="str">
        <f t="shared" si="6"/>
        <v>Series B</v>
      </c>
      <c r="R21" s="25">
        <v>19</v>
      </c>
      <c r="S21" s="10">
        <v>44242</v>
      </c>
      <c r="T21" s="10" t="s">
        <v>24</v>
      </c>
      <c r="U21" t="s">
        <v>20</v>
      </c>
      <c r="V21" t="s">
        <v>26</v>
      </c>
      <c r="W21" s="46" t="str">
        <f t="shared" si="3"/>
        <v>APAC</v>
      </c>
      <c r="X21" s="26" t="s">
        <v>22</v>
      </c>
      <c r="Y21" s="1">
        <v>4601605</v>
      </c>
      <c r="Z21" s="1">
        <v>0</v>
      </c>
      <c r="AA21" s="1">
        <v>1836801</v>
      </c>
      <c r="AB21" s="46" t="str">
        <f t="shared" si="4"/>
        <v>Unrealized</v>
      </c>
      <c r="AC21" s="1">
        <v>1836801</v>
      </c>
      <c r="AD21" s="11">
        <v>0.3991652912407736</v>
      </c>
      <c r="AE21" s="1">
        <v>7436017</v>
      </c>
      <c r="AF21" s="1">
        <v>38562965</v>
      </c>
    </row>
    <row r="22" spans="2:32" x14ac:dyDescent="0.25">
      <c r="B22" s="33" t="s">
        <v>16</v>
      </c>
      <c r="C22" s="17">
        <f>IFERROR(INDEX($R$3:$AF$102, MATCH(C18, $R$3:$R$102, 0), MATCH($B22, $R$2:$AF$2, 0)), "")</f>
        <v>1.541840005179921</v>
      </c>
      <c r="D22" s="17">
        <f t="shared" ref="D22:F22" si="7">IFERROR(INDEX($R$3:$AF$102, MATCH(D18, $R$3:$R$102, 0), MATCH($B22, $R$2:$AF$2, 0)), "")</f>
        <v>0.68703990122126313</v>
      </c>
      <c r="E22" s="17">
        <f t="shared" si="7"/>
        <v>0.8870484498048975</v>
      </c>
      <c r="F22" s="17">
        <f t="shared" si="7"/>
        <v>0.14915733794540631</v>
      </c>
      <c r="R22" s="25">
        <v>20</v>
      </c>
      <c r="S22" s="10">
        <v>43709</v>
      </c>
      <c r="T22" s="10" t="s">
        <v>24</v>
      </c>
      <c r="U22" t="s">
        <v>20</v>
      </c>
      <c r="V22" t="s">
        <v>30</v>
      </c>
      <c r="W22" s="46" t="str">
        <f t="shared" si="3"/>
        <v>USA</v>
      </c>
      <c r="X22" s="26" t="s">
        <v>27</v>
      </c>
      <c r="Y22" s="1">
        <v>2704248</v>
      </c>
      <c r="Z22" s="1">
        <v>0</v>
      </c>
      <c r="AA22" s="1">
        <v>1471132</v>
      </c>
      <c r="AB22" s="46" t="str">
        <f t="shared" si="4"/>
        <v>Unrealized</v>
      </c>
      <c r="AC22" s="1">
        <v>1471132</v>
      </c>
      <c r="AD22" s="11">
        <v>0.54400779810135758</v>
      </c>
      <c r="AE22" s="1">
        <v>0</v>
      </c>
      <c r="AF22" s="1">
        <v>1897917</v>
      </c>
    </row>
    <row r="23" spans="2:32" x14ac:dyDescent="0.25">
      <c r="R23" s="25">
        <v>21</v>
      </c>
      <c r="S23" s="10">
        <v>43652</v>
      </c>
      <c r="T23" s="10">
        <v>44773</v>
      </c>
      <c r="U23" t="s">
        <v>25</v>
      </c>
      <c r="V23" t="s">
        <v>30</v>
      </c>
      <c r="W23" s="46" t="str">
        <f t="shared" si="3"/>
        <v>USA</v>
      </c>
      <c r="X23" s="26" t="s">
        <v>27</v>
      </c>
      <c r="Y23" s="1">
        <v>4112950</v>
      </c>
      <c r="Z23" s="1">
        <v>1626881</v>
      </c>
      <c r="AA23" s="1">
        <v>0</v>
      </c>
      <c r="AB23" s="46" t="str">
        <f t="shared" si="4"/>
        <v>Realized</v>
      </c>
      <c r="AC23" s="1">
        <v>1626881</v>
      </c>
      <c r="AD23" s="11">
        <v>0.39555088197036192</v>
      </c>
      <c r="AE23" s="1">
        <v>0</v>
      </c>
      <c r="AF23" s="1">
        <v>1565961</v>
      </c>
    </row>
    <row r="24" spans="2:32" x14ac:dyDescent="0.25">
      <c r="R24" s="25">
        <v>22</v>
      </c>
      <c r="S24" s="10">
        <v>44153</v>
      </c>
      <c r="T24" s="10">
        <v>44960</v>
      </c>
      <c r="U24" t="s">
        <v>36</v>
      </c>
      <c r="V24" t="s">
        <v>30</v>
      </c>
      <c r="W24" s="46" t="str">
        <f t="shared" si="3"/>
        <v>USA</v>
      </c>
      <c r="X24" s="26" t="s">
        <v>34</v>
      </c>
      <c r="Y24" s="1">
        <v>2167498</v>
      </c>
      <c r="Z24" s="1">
        <v>3898055</v>
      </c>
      <c r="AA24" s="1">
        <v>0</v>
      </c>
      <c r="AB24" s="46" t="str">
        <f t="shared" si="4"/>
        <v>Realized</v>
      </c>
      <c r="AC24" s="1">
        <v>3898055</v>
      </c>
      <c r="AD24" s="11">
        <v>1.7984122707379659</v>
      </c>
      <c r="AE24" s="1">
        <v>17563864</v>
      </c>
      <c r="AF24" s="1">
        <v>29027454</v>
      </c>
    </row>
    <row r="25" spans="2:32" x14ac:dyDescent="0.25">
      <c r="R25" s="25">
        <v>23</v>
      </c>
      <c r="S25" s="10">
        <v>44147</v>
      </c>
      <c r="T25" s="10" t="s">
        <v>24</v>
      </c>
      <c r="U25" t="s">
        <v>20</v>
      </c>
      <c r="V25" t="s">
        <v>30</v>
      </c>
      <c r="W25" s="46" t="str">
        <f t="shared" si="3"/>
        <v>USA</v>
      </c>
      <c r="X25" s="26" t="s">
        <v>34</v>
      </c>
      <c r="Y25" s="1">
        <v>3788906</v>
      </c>
      <c r="Z25" s="1">
        <v>3478770</v>
      </c>
      <c r="AA25" s="1">
        <v>4288853</v>
      </c>
      <c r="AB25" s="46" t="str">
        <f t="shared" si="4"/>
        <v>Unrealized</v>
      </c>
      <c r="AC25" s="1">
        <v>7767623</v>
      </c>
      <c r="AD25" s="11">
        <v>2.050096518625693</v>
      </c>
      <c r="AE25" s="1">
        <v>8650140</v>
      </c>
      <c r="AF25" s="1">
        <v>79194684</v>
      </c>
    </row>
    <row r="26" spans="2:32" x14ac:dyDescent="0.25">
      <c r="B26" s="36" t="s">
        <v>41</v>
      </c>
      <c r="C26" s="36"/>
      <c r="R26" s="25">
        <v>24</v>
      </c>
      <c r="S26" s="10">
        <v>43702</v>
      </c>
      <c r="T26" s="10" t="s">
        <v>24</v>
      </c>
      <c r="U26" t="s">
        <v>20</v>
      </c>
      <c r="V26" t="s">
        <v>30</v>
      </c>
      <c r="W26" s="46" t="str">
        <f t="shared" si="3"/>
        <v>USA</v>
      </c>
      <c r="X26" s="26" t="s">
        <v>34</v>
      </c>
      <c r="Y26" s="1">
        <v>3304284</v>
      </c>
      <c r="Z26" s="1">
        <v>0</v>
      </c>
      <c r="AA26" s="1">
        <v>827874</v>
      </c>
      <c r="AB26" s="46" t="str">
        <f t="shared" si="4"/>
        <v>Unrealized</v>
      </c>
      <c r="AC26" s="1">
        <v>827874</v>
      </c>
      <c r="AD26" s="11">
        <v>0.25054565527660461</v>
      </c>
      <c r="AE26" s="1">
        <v>17013104</v>
      </c>
      <c r="AF26" s="1">
        <v>70255659</v>
      </c>
    </row>
    <row r="27" spans="2:32" x14ac:dyDescent="0.25">
      <c r="B27" s="34" t="s">
        <v>42</v>
      </c>
      <c r="C27" s="35" t="s">
        <v>9</v>
      </c>
      <c r="R27" s="25">
        <v>25</v>
      </c>
      <c r="S27" s="10">
        <v>43803</v>
      </c>
      <c r="T27" s="10">
        <v>44504</v>
      </c>
      <c r="U27" t="s">
        <v>25</v>
      </c>
      <c r="V27" t="s">
        <v>30</v>
      </c>
      <c r="W27" s="46" t="str">
        <f t="shared" si="3"/>
        <v>USA</v>
      </c>
      <c r="X27" s="26" t="s">
        <v>22</v>
      </c>
      <c r="Y27" s="1">
        <v>4540108</v>
      </c>
      <c r="Z27" s="1">
        <v>1899194</v>
      </c>
      <c r="AA27" s="1">
        <v>0</v>
      </c>
      <c r="AB27" s="46" t="str">
        <f t="shared" si="4"/>
        <v>Realized</v>
      </c>
      <c r="AC27" s="1">
        <v>1899194</v>
      </c>
      <c r="AD27" s="11">
        <v>0.4183147185044937</v>
      </c>
      <c r="AE27" s="1">
        <v>7062218</v>
      </c>
      <c r="AF27" s="1">
        <v>35296897</v>
      </c>
    </row>
    <row r="28" spans="2:32" x14ac:dyDescent="0.25">
      <c r="B28" s="18" t="s">
        <v>21</v>
      </c>
      <c r="C28" s="19" t="s">
        <v>43</v>
      </c>
      <c r="R28" s="25">
        <v>26</v>
      </c>
      <c r="S28" s="10">
        <v>43683</v>
      </c>
      <c r="T28" s="10" t="s">
        <v>24</v>
      </c>
      <c r="U28" t="s">
        <v>29</v>
      </c>
      <c r="V28" t="s">
        <v>26</v>
      </c>
      <c r="W28" s="46" t="str">
        <f t="shared" si="3"/>
        <v>APAC</v>
      </c>
      <c r="X28" s="26" t="s">
        <v>22</v>
      </c>
      <c r="Y28" s="1">
        <v>4755547</v>
      </c>
      <c r="Z28" s="1">
        <v>1187868</v>
      </c>
      <c r="AA28" s="1">
        <v>3317888</v>
      </c>
      <c r="AB28" s="46" t="str">
        <f t="shared" si="4"/>
        <v>Unrealized</v>
      </c>
      <c r="AC28" s="1">
        <v>4505756</v>
      </c>
      <c r="AD28" s="11">
        <v>0.94747376064204603</v>
      </c>
      <c r="AE28" s="1">
        <v>3453241</v>
      </c>
      <c r="AF28" s="1">
        <v>39670592</v>
      </c>
    </row>
    <row r="29" spans="2:32" x14ac:dyDescent="0.25">
      <c r="B29" s="18" t="s">
        <v>26</v>
      </c>
      <c r="C29" s="19" t="s">
        <v>44</v>
      </c>
      <c r="R29" s="25">
        <v>27</v>
      </c>
      <c r="S29" s="10">
        <v>43875</v>
      </c>
      <c r="T29" s="10">
        <v>44323</v>
      </c>
      <c r="U29" t="s">
        <v>20</v>
      </c>
      <c r="V29" t="s">
        <v>26</v>
      </c>
      <c r="W29" s="46" t="str">
        <f t="shared" si="3"/>
        <v>APAC</v>
      </c>
      <c r="X29" s="26" t="s">
        <v>22</v>
      </c>
      <c r="Y29" s="1">
        <v>1509565</v>
      </c>
      <c r="Z29" s="1">
        <v>2108224</v>
      </c>
      <c r="AA29" s="1">
        <v>0</v>
      </c>
      <c r="AB29" s="46" t="str">
        <f t="shared" si="4"/>
        <v>Realized</v>
      </c>
      <c r="AC29" s="1">
        <v>2108224</v>
      </c>
      <c r="AD29" s="11">
        <v>1.396577159645328</v>
      </c>
      <c r="AE29" s="1">
        <v>12033426</v>
      </c>
      <c r="AF29" s="1">
        <v>17038277</v>
      </c>
    </row>
    <row r="30" spans="2:32" x14ac:dyDescent="0.25">
      <c r="B30" s="18" t="s">
        <v>30</v>
      </c>
      <c r="C30" s="19" t="s">
        <v>30</v>
      </c>
      <c r="R30" s="25">
        <v>28</v>
      </c>
      <c r="S30" s="10">
        <v>44068</v>
      </c>
      <c r="T30" s="10">
        <v>44764</v>
      </c>
      <c r="U30" t="s">
        <v>20</v>
      </c>
      <c r="V30" t="s">
        <v>21</v>
      </c>
      <c r="W30" s="46" t="str">
        <f t="shared" si="3"/>
        <v>Europe</v>
      </c>
      <c r="X30" s="26" t="s">
        <v>27</v>
      </c>
      <c r="Y30" s="1">
        <v>3047898</v>
      </c>
      <c r="Z30" s="1">
        <v>4237786</v>
      </c>
      <c r="AA30" s="1">
        <v>0</v>
      </c>
      <c r="AB30" s="46" t="str">
        <f t="shared" si="4"/>
        <v>Realized</v>
      </c>
      <c r="AC30" s="1">
        <v>4237786</v>
      </c>
      <c r="AD30" s="11">
        <v>1.390396266541728</v>
      </c>
      <c r="AE30" s="1">
        <v>0</v>
      </c>
      <c r="AF30" s="1">
        <v>2292273</v>
      </c>
    </row>
    <row r="31" spans="2:32" x14ac:dyDescent="0.25">
      <c r="B31" s="18" t="s">
        <v>45</v>
      </c>
      <c r="C31" s="19" t="s">
        <v>43</v>
      </c>
      <c r="R31" s="25">
        <v>29</v>
      </c>
      <c r="S31" s="10">
        <v>43666</v>
      </c>
      <c r="T31" s="10" t="s">
        <v>24</v>
      </c>
      <c r="U31" t="s">
        <v>33</v>
      </c>
      <c r="V31" t="s">
        <v>26</v>
      </c>
      <c r="W31" s="46" t="str">
        <f t="shared" si="3"/>
        <v>APAC</v>
      </c>
      <c r="X31" s="26" t="s">
        <v>31</v>
      </c>
      <c r="Y31" s="1">
        <v>1487626</v>
      </c>
      <c r="Z31" s="1">
        <v>0</v>
      </c>
      <c r="AA31" s="1">
        <v>3364728</v>
      </c>
      <c r="AB31" s="46" t="str">
        <f t="shared" si="4"/>
        <v>Unrealized</v>
      </c>
      <c r="AC31" s="1">
        <v>3364728</v>
      </c>
      <c r="AD31" s="11">
        <v>2.2618104281586899</v>
      </c>
      <c r="AE31" s="1">
        <v>21608403</v>
      </c>
      <c r="AF31" s="1">
        <v>103081829</v>
      </c>
    </row>
    <row r="32" spans="2:32" x14ac:dyDescent="0.25">
      <c r="B32" s="18" t="s">
        <v>46</v>
      </c>
      <c r="C32" s="19" t="s">
        <v>44</v>
      </c>
      <c r="R32" s="25">
        <v>30</v>
      </c>
      <c r="S32" s="10">
        <v>44137</v>
      </c>
      <c r="T32" s="10">
        <v>45073</v>
      </c>
      <c r="U32" t="s">
        <v>20</v>
      </c>
      <c r="V32" t="s">
        <v>30</v>
      </c>
      <c r="W32" s="46" t="str">
        <f t="shared" si="3"/>
        <v>USA</v>
      </c>
      <c r="X32" s="26" t="s">
        <v>27</v>
      </c>
      <c r="Y32" s="1">
        <v>3622029</v>
      </c>
      <c r="Z32" s="1">
        <v>269920</v>
      </c>
      <c r="AA32" s="1">
        <v>0</v>
      </c>
      <c r="AB32" s="46" t="str">
        <f t="shared" si="4"/>
        <v>Realized</v>
      </c>
      <c r="AC32" s="1">
        <v>269920</v>
      </c>
      <c r="AD32" s="11">
        <v>7.4521766667246456E-2</v>
      </c>
      <c r="AE32" s="1">
        <v>0</v>
      </c>
      <c r="AF32" s="1">
        <v>1683772</v>
      </c>
    </row>
    <row r="33" spans="2:32" x14ac:dyDescent="0.25">
      <c r="B33" s="18" t="s">
        <v>47</v>
      </c>
      <c r="C33" s="19" t="s">
        <v>44</v>
      </c>
      <c r="R33" s="25">
        <v>31</v>
      </c>
      <c r="S33" s="10">
        <v>44103</v>
      </c>
      <c r="T33" s="10">
        <v>44607</v>
      </c>
      <c r="U33" t="s">
        <v>20</v>
      </c>
      <c r="V33" t="s">
        <v>26</v>
      </c>
      <c r="W33" s="46" t="str">
        <f t="shared" si="3"/>
        <v>APAC</v>
      </c>
      <c r="X33" s="26" t="s">
        <v>34</v>
      </c>
      <c r="Y33" s="1">
        <v>3978505</v>
      </c>
      <c r="Z33" s="1">
        <v>1200428</v>
      </c>
      <c r="AA33" s="1">
        <v>0</v>
      </c>
      <c r="AB33" s="46" t="str">
        <f t="shared" si="4"/>
        <v>Realized</v>
      </c>
      <c r="AC33" s="1">
        <v>1200428</v>
      </c>
      <c r="AD33" s="11">
        <v>0.30172841305967951</v>
      </c>
      <c r="AE33" s="1">
        <v>18620083</v>
      </c>
      <c r="AF33" s="1">
        <v>39787191</v>
      </c>
    </row>
    <row r="34" spans="2:32" x14ac:dyDescent="0.25">
      <c r="B34" s="18" t="s">
        <v>48</v>
      </c>
      <c r="C34" s="19" t="s">
        <v>43</v>
      </c>
      <c r="R34" s="25">
        <v>32</v>
      </c>
      <c r="S34" s="10">
        <v>43823</v>
      </c>
      <c r="T34" s="10" t="s">
        <v>24</v>
      </c>
      <c r="U34" t="s">
        <v>29</v>
      </c>
      <c r="V34" t="s">
        <v>26</v>
      </c>
      <c r="W34" s="46" t="str">
        <f t="shared" si="3"/>
        <v>APAC</v>
      </c>
      <c r="X34" s="26" t="s">
        <v>27</v>
      </c>
      <c r="Y34" s="1">
        <v>1104241</v>
      </c>
      <c r="Z34" s="1">
        <v>4368556</v>
      </c>
      <c r="AA34" s="1">
        <v>175146</v>
      </c>
      <c r="AB34" s="46" t="str">
        <f t="shared" si="4"/>
        <v>Unrealized</v>
      </c>
      <c r="AC34" s="1">
        <v>4543702</v>
      </c>
      <c r="AD34" s="11">
        <v>4.1147738582429021</v>
      </c>
      <c r="AE34" s="1">
        <v>0</v>
      </c>
      <c r="AF34" s="1">
        <v>1270884</v>
      </c>
    </row>
    <row r="35" spans="2:32" x14ac:dyDescent="0.25">
      <c r="B35" s="20" t="s">
        <v>49</v>
      </c>
      <c r="C35" s="21" t="s">
        <v>44</v>
      </c>
      <c r="R35" s="25">
        <v>33</v>
      </c>
      <c r="S35" s="10">
        <v>43756</v>
      </c>
      <c r="T35" s="10" t="s">
        <v>24</v>
      </c>
      <c r="U35" t="s">
        <v>36</v>
      </c>
      <c r="V35" t="s">
        <v>45</v>
      </c>
      <c r="W35" s="46" t="str">
        <f t="shared" si="3"/>
        <v>Europe</v>
      </c>
      <c r="X35" s="26" t="s">
        <v>27</v>
      </c>
      <c r="Y35" s="1">
        <v>2532076</v>
      </c>
      <c r="Z35" s="1">
        <v>0</v>
      </c>
      <c r="AA35" s="1">
        <v>2192085</v>
      </c>
      <c r="AB35" s="46" t="str">
        <f t="shared" si="4"/>
        <v>Unrealized</v>
      </c>
      <c r="AC35" s="1">
        <v>2192085</v>
      </c>
      <c r="AD35" s="11">
        <v>0.86572638420015824</v>
      </c>
      <c r="AE35" s="1">
        <v>0</v>
      </c>
      <c r="AF35" s="1">
        <v>3979624</v>
      </c>
    </row>
    <row r="36" spans="2:32" x14ac:dyDescent="0.25">
      <c r="R36" s="25">
        <v>34</v>
      </c>
      <c r="S36" s="10">
        <v>44062</v>
      </c>
      <c r="T36" s="10">
        <v>44835</v>
      </c>
      <c r="U36" t="s">
        <v>29</v>
      </c>
      <c r="V36" t="s">
        <v>30</v>
      </c>
      <c r="W36" s="46" t="str">
        <f t="shared" si="3"/>
        <v>USA</v>
      </c>
      <c r="X36" s="26" t="s">
        <v>34</v>
      </c>
      <c r="Y36" s="1">
        <v>2829877</v>
      </c>
      <c r="Z36" s="1">
        <v>1179252</v>
      </c>
      <c r="AA36" s="1">
        <v>0</v>
      </c>
      <c r="AB36" s="46" t="str">
        <f t="shared" si="4"/>
        <v>Realized</v>
      </c>
      <c r="AC36" s="1">
        <v>1179252</v>
      </c>
      <c r="AD36" s="11">
        <v>0.41671493142634819</v>
      </c>
      <c r="AE36" s="1">
        <v>15382442</v>
      </c>
      <c r="AF36" s="1">
        <v>71785949</v>
      </c>
    </row>
    <row r="37" spans="2:32" x14ac:dyDescent="0.25">
      <c r="R37" s="25">
        <v>35</v>
      </c>
      <c r="S37" s="10">
        <v>44155</v>
      </c>
      <c r="T37" s="10">
        <v>44444</v>
      </c>
      <c r="U37" t="s">
        <v>20</v>
      </c>
      <c r="V37" t="s">
        <v>26</v>
      </c>
      <c r="W37" s="46" t="str">
        <f t="shared" si="3"/>
        <v>APAC</v>
      </c>
      <c r="X37" s="26" t="s">
        <v>34</v>
      </c>
      <c r="Y37" s="1">
        <v>1157605</v>
      </c>
      <c r="Z37" s="1">
        <v>2354472</v>
      </c>
      <c r="AA37" s="1">
        <v>0</v>
      </c>
      <c r="AB37" s="46" t="str">
        <f t="shared" si="4"/>
        <v>Realized</v>
      </c>
      <c r="AC37" s="1">
        <v>2354472</v>
      </c>
      <c r="AD37" s="11">
        <v>2.0339165777618451</v>
      </c>
      <c r="AE37" s="1">
        <v>6366664</v>
      </c>
      <c r="AF37" s="1">
        <v>20343321</v>
      </c>
    </row>
    <row r="38" spans="2:32" x14ac:dyDescent="0.25">
      <c r="R38" s="25">
        <v>36</v>
      </c>
      <c r="S38" s="10">
        <v>43966</v>
      </c>
      <c r="T38" s="10">
        <v>45214</v>
      </c>
      <c r="U38" t="s">
        <v>25</v>
      </c>
      <c r="V38" t="s">
        <v>45</v>
      </c>
      <c r="W38" s="46" t="str">
        <f t="shared" si="3"/>
        <v>Europe</v>
      </c>
      <c r="X38" s="26" t="s">
        <v>22</v>
      </c>
      <c r="Y38" s="1">
        <v>2737602</v>
      </c>
      <c r="Z38" s="1">
        <v>1794879</v>
      </c>
      <c r="AA38" s="1">
        <v>0</v>
      </c>
      <c r="AB38" s="46" t="str">
        <f t="shared" si="4"/>
        <v>Realized</v>
      </c>
      <c r="AC38" s="1">
        <v>1794879</v>
      </c>
      <c r="AD38" s="11">
        <v>0.65563913235013704</v>
      </c>
      <c r="AE38" s="1">
        <v>8112305</v>
      </c>
      <c r="AF38" s="1">
        <v>9728197</v>
      </c>
    </row>
    <row r="39" spans="2:32" x14ac:dyDescent="0.25">
      <c r="R39" s="25">
        <v>37</v>
      </c>
      <c r="S39" s="10">
        <v>43826</v>
      </c>
      <c r="T39" s="10" t="s">
        <v>24</v>
      </c>
      <c r="U39" t="s">
        <v>20</v>
      </c>
      <c r="V39" t="s">
        <v>30</v>
      </c>
      <c r="W39" s="46" t="str">
        <f t="shared" si="3"/>
        <v>USA</v>
      </c>
      <c r="X39" s="26" t="s">
        <v>34</v>
      </c>
      <c r="Y39" s="1">
        <v>4254169</v>
      </c>
      <c r="Z39" s="1">
        <v>0</v>
      </c>
      <c r="AA39" s="1">
        <v>4364223</v>
      </c>
      <c r="AB39" s="46" t="str">
        <f t="shared" si="4"/>
        <v>Unrealized</v>
      </c>
      <c r="AC39" s="1">
        <v>4364223</v>
      </c>
      <c r="AD39" s="11">
        <v>1.0258696821870501</v>
      </c>
      <c r="AE39" s="1">
        <v>16768571</v>
      </c>
      <c r="AF39" s="1">
        <v>40476106</v>
      </c>
    </row>
    <row r="40" spans="2:32" x14ac:dyDescent="0.25">
      <c r="R40" s="25">
        <v>38</v>
      </c>
      <c r="S40" s="10">
        <v>43748</v>
      </c>
      <c r="T40" s="10" t="s">
        <v>24</v>
      </c>
      <c r="U40" t="s">
        <v>29</v>
      </c>
      <c r="V40" t="s">
        <v>45</v>
      </c>
      <c r="W40" s="46" t="str">
        <f t="shared" si="3"/>
        <v>Europe</v>
      </c>
      <c r="X40" s="26" t="s">
        <v>27</v>
      </c>
      <c r="Y40" s="1">
        <v>4310787</v>
      </c>
      <c r="Z40" s="1">
        <v>0</v>
      </c>
      <c r="AA40" s="1">
        <v>3454364</v>
      </c>
      <c r="AB40" s="46" t="str">
        <f t="shared" si="4"/>
        <v>Unrealized</v>
      </c>
      <c r="AC40" s="1">
        <v>3454364</v>
      </c>
      <c r="AD40" s="11">
        <v>0.80133024433821476</v>
      </c>
      <c r="AE40" s="1">
        <v>0</v>
      </c>
      <c r="AF40" s="1">
        <v>2534790</v>
      </c>
    </row>
    <row r="41" spans="2:32" x14ac:dyDescent="0.25">
      <c r="R41" s="25">
        <v>39</v>
      </c>
      <c r="S41" s="10">
        <v>43998</v>
      </c>
      <c r="T41" s="10">
        <v>44952</v>
      </c>
      <c r="U41" t="s">
        <v>25</v>
      </c>
      <c r="V41" t="s">
        <v>30</v>
      </c>
      <c r="W41" s="46" t="str">
        <f t="shared" si="3"/>
        <v>USA</v>
      </c>
      <c r="X41" s="26" t="s">
        <v>22</v>
      </c>
      <c r="Y41" s="1">
        <v>2754393</v>
      </c>
      <c r="Z41" s="1">
        <v>1099648</v>
      </c>
      <c r="AA41" s="1">
        <v>0</v>
      </c>
      <c r="AB41" s="46" t="str">
        <f t="shared" si="4"/>
        <v>Realized</v>
      </c>
      <c r="AC41" s="1">
        <v>1099648</v>
      </c>
      <c r="AD41" s="11">
        <v>0.39923424144630049</v>
      </c>
      <c r="AE41" s="1">
        <v>1186757</v>
      </c>
      <c r="AF41" s="1">
        <v>55636715</v>
      </c>
    </row>
    <row r="42" spans="2:32" x14ac:dyDescent="0.25">
      <c r="R42" s="25">
        <v>40</v>
      </c>
      <c r="S42" s="10">
        <v>43603</v>
      </c>
      <c r="T42" s="10" t="s">
        <v>24</v>
      </c>
      <c r="U42" t="s">
        <v>20</v>
      </c>
      <c r="V42" t="s">
        <v>30</v>
      </c>
      <c r="W42" s="46" t="str">
        <f t="shared" si="3"/>
        <v>USA</v>
      </c>
      <c r="X42" s="26" t="s">
        <v>22</v>
      </c>
      <c r="Y42" s="1">
        <v>3326577</v>
      </c>
      <c r="Z42" s="1">
        <v>4395280</v>
      </c>
      <c r="AA42" s="1">
        <v>773047</v>
      </c>
      <c r="AB42" s="46" t="str">
        <f t="shared" si="4"/>
        <v>Unrealized</v>
      </c>
      <c r="AC42" s="1">
        <v>5168327</v>
      </c>
      <c r="AD42" s="11">
        <v>1.5536471874843121</v>
      </c>
      <c r="AE42" s="1">
        <v>9767420</v>
      </c>
      <c r="AF42" s="1">
        <v>11450348</v>
      </c>
    </row>
    <row r="43" spans="2:32" x14ac:dyDescent="0.25">
      <c r="R43" s="25">
        <v>41</v>
      </c>
      <c r="S43" s="10">
        <v>43847</v>
      </c>
      <c r="T43" s="10" t="s">
        <v>24</v>
      </c>
      <c r="U43" t="s">
        <v>20</v>
      </c>
      <c r="V43" t="s">
        <v>46</v>
      </c>
      <c r="W43" s="46" t="str">
        <f t="shared" si="3"/>
        <v>APAC</v>
      </c>
      <c r="X43" s="26" t="s">
        <v>27</v>
      </c>
      <c r="Y43" s="1">
        <v>1465872</v>
      </c>
      <c r="Z43" s="1">
        <v>4955572</v>
      </c>
      <c r="AA43" s="1">
        <v>4193268</v>
      </c>
      <c r="AB43" s="46" t="str">
        <f t="shared" si="4"/>
        <v>Unrealized</v>
      </c>
      <c r="AC43" s="1">
        <v>9148840</v>
      </c>
      <c r="AD43" s="11">
        <v>6.2412270648460444</v>
      </c>
      <c r="AE43" s="1">
        <v>0</v>
      </c>
      <c r="AF43" s="1">
        <v>1125908</v>
      </c>
    </row>
    <row r="44" spans="2:32" x14ac:dyDescent="0.25">
      <c r="R44" s="25">
        <v>42</v>
      </c>
      <c r="S44" s="10">
        <v>43912</v>
      </c>
      <c r="T44" s="10" t="s">
        <v>24</v>
      </c>
      <c r="U44" t="s">
        <v>40</v>
      </c>
      <c r="V44" t="s">
        <v>45</v>
      </c>
      <c r="W44" s="46" t="str">
        <f t="shared" si="3"/>
        <v>Europe</v>
      </c>
      <c r="X44" s="26" t="s">
        <v>27</v>
      </c>
      <c r="Y44" s="1">
        <v>1553325</v>
      </c>
      <c r="Z44" s="1">
        <v>4926104</v>
      </c>
      <c r="AA44" s="1">
        <v>3484688</v>
      </c>
      <c r="AB44" s="46" t="str">
        <f t="shared" si="4"/>
        <v>Unrealized</v>
      </c>
      <c r="AC44" s="1">
        <v>8410792</v>
      </c>
      <c r="AD44" s="11">
        <v>5.4147020102039178</v>
      </c>
      <c r="AE44" s="1">
        <v>0</v>
      </c>
      <c r="AF44" s="1">
        <v>3790427</v>
      </c>
    </row>
    <row r="45" spans="2:32" x14ac:dyDescent="0.25">
      <c r="R45" s="25">
        <v>43</v>
      </c>
      <c r="S45" s="10">
        <v>43658</v>
      </c>
      <c r="T45" s="10">
        <v>44567</v>
      </c>
      <c r="U45" t="s">
        <v>29</v>
      </c>
      <c r="V45" t="s">
        <v>45</v>
      </c>
      <c r="W45" s="46" t="str">
        <f t="shared" si="3"/>
        <v>Europe</v>
      </c>
      <c r="X45" s="26" t="s">
        <v>31</v>
      </c>
      <c r="Y45" s="1">
        <v>2069055</v>
      </c>
      <c r="Z45" s="1">
        <v>3396243</v>
      </c>
      <c r="AA45" s="1">
        <v>0</v>
      </c>
      <c r="AB45" s="46" t="str">
        <f t="shared" si="4"/>
        <v>Realized</v>
      </c>
      <c r="AC45" s="1">
        <v>3396243</v>
      </c>
      <c r="AD45" s="11">
        <v>1.6414464574407159</v>
      </c>
      <c r="AE45" s="1">
        <v>15167371</v>
      </c>
      <c r="AF45" s="1">
        <v>72320423</v>
      </c>
    </row>
    <row r="46" spans="2:32" x14ac:dyDescent="0.25">
      <c r="R46" s="25">
        <v>44</v>
      </c>
      <c r="S46" s="10">
        <v>43571</v>
      </c>
      <c r="T46" s="10" t="s">
        <v>24</v>
      </c>
      <c r="U46" t="s">
        <v>29</v>
      </c>
      <c r="V46" t="s">
        <v>46</v>
      </c>
      <c r="W46" s="46" t="str">
        <f t="shared" si="3"/>
        <v>APAC</v>
      </c>
      <c r="X46" s="26" t="s">
        <v>34</v>
      </c>
      <c r="Y46" s="1">
        <v>4415316</v>
      </c>
      <c r="Z46" s="1">
        <v>0</v>
      </c>
      <c r="AA46" s="1">
        <v>2966626</v>
      </c>
      <c r="AB46" s="46" t="str">
        <f t="shared" si="4"/>
        <v>Unrealized</v>
      </c>
      <c r="AC46" s="1">
        <v>2966626</v>
      </c>
      <c r="AD46" s="11">
        <v>0.67189437856769485</v>
      </c>
      <c r="AE46" s="1">
        <v>6427276</v>
      </c>
      <c r="AF46" s="1">
        <v>58083140</v>
      </c>
    </row>
    <row r="47" spans="2:32" x14ac:dyDescent="0.25">
      <c r="R47" s="25">
        <v>45</v>
      </c>
      <c r="S47" s="10">
        <v>44041</v>
      </c>
      <c r="T47" s="10">
        <v>44734</v>
      </c>
      <c r="U47" t="s">
        <v>36</v>
      </c>
      <c r="V47" t="s">
        <v>45</v>
      </c>
      <c r="W47" s="46" t="str">
        <f t="shared" si="3"/>
        <v>Europe</v>
      </c>
      <c r="X47" s="26" t="s">
        <v>27</v>
      </c>
      <c r="Y47" s="1">
        <v>3580532</v>
      </c>
      <c r="Z47" s="1">
        <v>1701365</v>
      </c>
      <c r="AA47" s="1">
        <v>0</v>
      </c>
      <c r="AB47" s="46" t="str">
        <f t="shared" si="4"/>
        <v>Realized</v>
      </c>
      <c r="AC47" s="1">
        <v>1701365</v>
      </c>
      <c r="AD47" s="11">
        <v>0.47517100810717511</v>
      </c>
      <c r="AE47" s="1">
        <v>0</v>
      </c>
      <c r="AF47" s="1">
        <v>1509743</v>
      </c>
    </row>
    <row r="48" spans="2:32" x14ac:dyDescent="0.25">
      <c r="R48" s="25">
        <v>46</v>
      </c>
      <c r="S48" s="10">
        <v>43932</v>
      </c>
      <c r="T48" s="10">
        <v>44810</v>
      </c>
      <c r="U48" t="s">
        <v>20</v>
      </c>
      <c r="V48" t="s">
        <v>45</v>
      </c>
      <c r="W48" s="46" t="str">
        <f t="shared" si="3"/>
        <v>Europe</v>
      </c>
      <c r="X48" s="26" t="s">
        <v>22</v>
      </c>
      <c r="Y48" s="1">
        <v>4314551</v>
      </c>
      <c r="Z48" s="1">
        <v>876386</v>
      </c>
      <c r="AA48" s="1">
        <v>0</v>
      </c>
      <c r="AB48" s="46" t="str">
        <f t="shared" si="4"/>
        <v>Realized</v>
      </c>
      <c r="AC48" s="1">
        <v>876386</v>
      </c>
      <c r="AD48" s="11">
        <v>0.20312333774707961</v>
      </c>
      <c r="AE48" s="1">
        <v>7408661</v>
      </c>
      <c r="AF48" s="1">
        <v>19835852</v>
      </c>
    </row>
    <row r="49" spans="18:32" x14ac:dyDescent="0.25">
      <c r="R49" s="25">
        <v>47</v>
      </c>
      <c r="S49" s="10">
        <v>43830</v>
      </c>
      <c r="T49" s="10" t="s">
        <v>24</v>
      </c>
      <c r="U49" t="s">
        <v>40</v>
      </c>
      <c r="V49" t="s">
        <v>30</v>
      </c>
      <c r="W49" s="46" t="str">
        <f t="shared" si="3"/>
        <v>USA</v>
      </c>
      <c r="X49" s="26" t="s">
        <v>22</v>
      </c>
      <c r="Y49" s="1">
        <v>1755129</v>
      </c>
      <c r="Z49" s="1">
        <v>4820009</v>
      </c>
      <c r="AA49" s="1">
        <v>1128393</v>
      </c>
      <c r="AB49" s="46" t="str">
        <f t="shared" si="4"/>
        <v>Unrealized</v>
      </c>
      <c r="AC49" s="1">
        <v>5948402</v>
      </c>
      <c r="AD49" s="11">
        <v>3.389153731720004</v>
      </c>
      <c r="AE49" s="1">
        <v>11512701</v>
      </c>
      <c r="AF49" s="1">
        <v>9046402</v>
      </c>
    </row>
    <row r="50" spans="18:32" x14ac:dyDescent="0.25">
      <c r="R50" s="25">
        <v>48</v>
      </c>
      <c r="S50" s="10">
        <v>44255</v>
      </c>
      <c r="T50" s="10" t="s">
        <v>24</v>
      </c>
      <c r="U50" t="s">
        <v>40</v>
      </c>
      <c r="V50" t="s">
        <v>30</v>
      </c>
      <c r="W50" s="46" t="str">
        <f t="shared" si="3"/>
        <v>USA</v>
      </c>
      <c r="X50" s="26" t="s">
        <v>22</v>
      </c>
      <c r="Y50" s="1">
        <v>1238053</v>
      </c>
      <c r="Z50" s="1">
        <v>4706982</v>
      </c>
      <c r="AA50" s="1">
        <v>4507592</v>
      </c>
      <c r="AB50" s="46" t="str">
        <f t="shared" si="4"/>
        <v>Unrealized</v>
      </c>
      <c r="AC50" s="1">
        <v>9214574</v>
      </c>
      <c r="AD50" s="11">
        <v>7.4427944522568907</v>
      </c>
      <c r="AE50" s="1">
        <v>2037851</v>
      </c>
      <c r="AF50" s="1">
        <v>31820568</v>
      </c>
    </row>
    <row r="51" spans="18:32" x14ac:dyDescent="0.25">
      <c r="R51" s="25">
        <v>49</v>
      </c>
      <c r="S51" s="10">
        <v>43985</v>
      </c>
      <c r="T51" s="10">
        <v>44533</v>
      </c>
      <c r="U51" t="s">
        <v>36</v>
      </c>
      <c r="V51" t="s">
        <v>46</v>
      </c>
      <c r="W51" s="46" t="str">
        <f t="shared" ref="W51:W82" si="8">IFERROR(INDEX($C$28:$C$35, MATCH(V51, $B$28:$B$35, 0)), "")</f>
        <v>APAC</v>
      </c>
      <c r="X51" s="26" t="s">
        <v>27</v>
      </c>
      <c r="Y51" s="1">
        <v>1501848</v>
      </c>
      <c r="Z51" s="1">
        <v>1136370</v>
      </c>
      <c r="AA51" s="1">
        <v>0</v>
      </c>
      <c r="AB51" s="46" t="str">
        <f t="shared" ref="AB51:AB82" si="9">IF($AA51=0, "Realized", "Unrealized")</f>
        <v>Realized</v>
      </c>
      <c r="AC51" s="1">
        <v>1136370</v>
      </c>
      <c r="AD51" s="11">
        <v>0.75664780989820546</v>
      </c>
      <c r="AE51" s="1">
        <v>0</v>
      </c>
      <c r="AF51" s="1">
        <v>2015175</v>
      </c>
    </row>
    <row r="52" spans="18:32" x14ac:dyDescent="0.25">
      <c r="R52" s="25">
        <v>50</v>
      </c>
      <c r="S52" s="10">
        <v>43954</v>
      </c>
      <c r="T52" s="10" t="s">
        <v>24</v>
      </c>
      <c r="U52" t="s">
        <v>33</v>
      </c>
      <c r="V52" t="s">
        <v>46</v>
      </c>
      <c r="W52" s="46" t="str">
        <f t="shared" si="8"/>
        <v>APAC</v>
      </c>
      <c r="X52" s="26" t="s">
        <v>27</v>
      </c>
      <c r="Y52" s="1">
        <v>1302590</v>
      </c>
      <c r="Z52" s="1">
        <v>1899917</v>
      </c>
      <c r="AA52" s="1">
        <v>4481794</v>
      </c>
      <c r="AB52" s="46" t="str">
        <f t="shared" si="9"/>
        <v>Unrealized</v>
      </c>
      <c r="AC52" s="1">
        <v>6381711</v>
      </c>
      <c r="AD52" s="11">
        <v>4.8992476527533606</v>
      </c>
      <c r="AE52" s="1">
        <v>0</v>
      </c>
      <c r="AF52" s="1">
        <v>2586214</v>
      </c>
    </row>
    <row r="53" spans="18:32" x14ac:dyDescent="0.25">
      <c r="R53" s="25">
        <v>51</v>
      </c>
      <c r="S53" s="10">
        <v>43850</v>
      </c>
      <c r="T53" s="10">
        <v>44669</v>
      </c>
      <c r="U53" t="s">
        <v>33</v>
      </c>
      <c r="V53" t="s">
        <v>46</v>
      </c>
      <c r="W53" s="46" t="str">
        <f t="shared" si="8"/>
        <v>APAC</v>
      </c>
      <c r="X53" s="26" t="s">
        <v>27</v>
      </c>
      <c r="Y53" s="1">
        <v>4341001</v>
      </c>
      <c r="Z53" s="1">
        <v>4975970</v>
      </c>
      <c r="AA53" s="1">
        <v>0</v>
      </c>
      <c r="AB53" s="46" t="str">
        <f t="shared" si="9"/>
        <v>Realized</v>
      </c>
      <c r="AC53" s="1">
        <v>4975970</v>
      </c>
      <c r="AD53" s="11">
        <v>1.1462724841574561</v>
      </c>
      <c r="AE53" s="1">
        <v>0</v>
      </c>
      <c r="AF53" s="1">
        <v>3622692</v>
      </c>
    </row>
    <row r="54" spans="18:32" x14ac:dyDescent="0.25">
      <c r="R54" s="25">
        <v>52</v>
      </c>
      <c r="S54" s="10">
        <v>44234</v>
      </c>
      <c r="T54" s="10" t="s">
        <v>24</v>
      </c>
      <c r="U54" t="s">
        <v>36</v>
      </c>
      <c r="V54" t="s">
        <v>46</v>
      </c>
      <c r="W54" s="46" t="str">
        <f t="shared" si="8"/>
        <v>APAC</v>
      </c>
      <c r="X54" s="26" t="s">
        <v>27</v>
      </c>
      <c r="Y54" s="1">
        <v>1288099</v>
      </c>
      <c r="Z54" s="1">
        <v>3619250</v>
      </c>
      <c r="AA54" s="1">
        <v>4630250</v>
      </c>
      <c r="AB54" s="46" t="str">
        <f t="shared" si="9"/>
        <v>Unrealized</v>
      </c>
      <c r="AC54" s="1">
        <v>8249500</v>
      </c>
      <c r="AD54" s="11">
        <v>6.4043990407569602</v>
      </c>
      <c r="AE54" s="1">
        <v>0</v>
      </c>
      <c r="AF54" s="1">
        <v>2518343</v>
      </c>
    </row>
    <row r="55" spans="18:32" x14ac:dyDescent="0.25">
      <c r="R55" s="25">
        <v>53</v>
      </c>
      <c r="S55" s="10">
        <v>44246</v>
      </c>
      <c r="T55" s="10" t="s">
        <v>24</v>
      </c>
      <c r="U55" t="s">
        <v>20</v>
      </c>
      <c r="V55" t="s">
        <v>45</v>
      </c>
      <c r="W55" s="46" t="str">
        <f t="shared" si="8"/>
        <v>Europe</v>
      </c>
      <c r="X55" s="26" t="s">
        <v>22</v>
      </c>
      <c r="Y55" s="1">
        <v>2566077</v>
      </c>
      <c r="Z55" s="1">
        <v>4035205</v>
      </c>
      <c r="AA55" s="1">
        <v>696406</v>
      </c>
      <c r="AB55" s="46" t="str">
        <f t="shared" si="9"/>
        <v>Unrealized</v>
      </c>
      <c r="AC55" s="1">
        <v>4731611</v>
      </c>
      <c r="AD55" s="11">
        <v>1.843908425195347</v>
      </c>
      <c r="AE55" s="1">
        <v>8299134</v>
      </c>
      <c r="AF55" s="1">
        <v>26439675</v>
      </c>
    </row>
    <row r="56" spans="18:32" x14ac:dyDescent="0.25">
      <c r="R56" s="25">
        <v>54</v>
      </c>
      <c r="S56" s="10">
        <v>44280</v>
      </c>
      <c r="T56" s="10">
        <v>45027</v>
      </c>
      <c r="U56" t="s">
        <v>36</v>
      </c>
      <c r="V56" t="s">
        <v>30</v>
      </c>
      <c r="W56" s="46" t="str">
        <f t="shared" si="8"/>
        <v>USA</v>
      </c>
      <c r="X56" s="26" t="s">
        <v>22</v>
      </c>
      <c r="Y56" s="1">
        <v>2848881</v>
      </c>
      <c r="Z56" s="1">
        <v>3182854</v>
      </c>
      <c r="AA56" s="1">
        <v>0</v>
      </c>
      <c r="AB56" s="46" t="str">
        <f t="shared" si="9"/>
        <v>Realized</v>
      </c>
      <c r="AC56" s="1">
        <v>3182854</v>
      </c>
      <c r="AD56" s="11">
        <v>1.1172295367900591</v>
      </c>
      <c r="AE56" s="1">
        <v>14603182</v>
      </c>
      <c r="AF56" s="1">
        <v>59446817</v>
      </c>
    </row>
    <row r="57" spans="18:32" x14ac:dyDescent="0.25">
      <c r="R57" s="25">
        <v>55</v>
      </c>
      <c r="S57" s="10">
        <v>43673</v>
      </c>
      <c r="T57" s="10" t="s">
        <v>24</v>
      </c>
      <c r="U57" t="s">
        <v>40</v>
      </c>
      <c r="V57" t="s">
        <v>46</v>
      </c>
      <c r="W57" s="46" t="str">
        <f t="shared" si="8"/>
        <v>APAC</v>
      </c>
      <c r="X57" s="26" t="s">
        <v>22</v>
      </c>
      <c r="Y57" s="1">
        <v>2965941</v>
      </c>
      <c r="Z57" s="1">
        <v>1520660</v>
      </c>
      <c r="AA57" s="1">
        <v>2930015</v>
      </c>
      <c r="AB57" s="46" t="str">
        <f t="shared" si="9"/>
        <v>Unrealized</v>
      </c>
      <c r="AC57" s="1">
        <v>4450675</v>
      </c>
      <c r="AD57" s="11">
        <v>1.5005945836414141</v>
      </c>
      <c r="AE57" s="1">
        <v>8459136</v>
      </c>
      <c r="AF57" s="1">
        <v>17585419</v>
      </c>
    </row>
    <row r="58" spans="18:32" x14ac:dyDescent="0.25">
      <c r="R58" s="25">
        <v>56</v>
      </c>
      <c r="S58" s="10">
        <v>43721</v>
      </c>
      <c r="T58" s="10" t="s">
        <v>24</v>
      </c>
      <c r="U58" t="s">
        <v>20</v>
      </c>
      <c r="V58" t="s">
        <v>45</v>
      </c>
      <c r="W58" s="46" t="str">
        <f t="shared" si="8"/>
        <v>Europe</v>
      </c>
      <c r="X58" s="26" t="s">
        <v>27</v>
      </c>
      <c r="Y58" s="1">
        <v>3170279</v>
      </c>
      <c r="Z58" s="1">
        <v>4120500</v>
      </c>
      <c r="AA58" s="1">
        <v>3954269</v>
      </c>
      <c r="AB58" s="46" t="str">
        <f t="shared" si="9"/>
        <v>Unrealized</v>
      </c>
      <c r="AC58" s="1">
        <v>8074769</v>
      </c>
      <c r="AD58" s="11">
        <v>2.547021571287575</v>
      </c>
      <c r="AE58" s="1">
        <v>0</v>
      </c>
      <c r="AF58" s="1">
        <v>3960286</v>
      </c>
    </row>
    <row r="59" spans="18:32" x14ac:dyDescent="0.25">
      <c r="R59" s="25">
        <v>57</v>
      </c>
      <c r="S59" s="10">
        <v>43620</v>
      </c>
      <c r="T59" s="10" t="s">
        <v>24</v>
      </c>
      <c r="U59" t="s">
        <v>33</v>
      </c>
      <c r="V59" t="s">
        <v>46</v>
      </c>
      <c r="W59" s="46" t="str">
        <f t="shared" si="8"/>
        <v>APAC</v>
      </c>
      <c r="X59" s="26" t="s">
        <v>22</v>
      </c>
      <c r="Y59" s="1">
        <v>2383692</v>
      </c>
      <c r="Z59" s="1">
        <v>0</v>
      </c>
      <c r="AA59" s="1">
        <v>983658</v>
      </c>
      <c r="AB59" s="46" t="str">
        <f t="shared" si="9"/>
        <v>Unrealized</v>
      </c>
      <c r="AC59" s="1">
        <v>983658</v>
      </c>
      <c r="AD59" s="11">
        <v>0.41266153513121662</v>
      </c>
      <c r="AE59" s="1">
        <v>11917047</v>
      </c>
      <c r="AF59" s="1">
        <v>4232602</v>
      </c>
    </row>
    <row r="60" spans="18:32" x14ac:dyDescent="0.25">
      <c r="R60" s="25">
        <v>58</v>
      </c>
      <c r="S60" s="10">
        <v>43682</v>
      </c>
      <c r="T60" s="10" t="s">
        <v>24</v>
      </c>
      <c r="U60" t="s">
        <v>33</v>
      </c>
      <c r="V60" t="s">
        <v>46</v>
      </c>
      <c r="W60" s="46" t="str">
        <f t="shared" si="8"/>
        <v>APAC</v>
      </c>
      <c r="X60" s="26" t="s">
        <v>27</v>
      </c>
      <c r="Y60" s="1">
        <v>4103738</v>
      </c>
      <c r="Z60" s="1">
        <v>0</v>
      </c>
      <c r="AA60" s="1">
        <v>1040783</v>
      </c>
      <c r="AB60" s="46" t="str">
        <f t="shared" si="9"/>
        <v>Unrealized</v>
      </c>
      <c r="AC60" s="1">
        <v>1040783</v>
      </c>
      <c r="AD60" s="11">
        <v>0.25361828654753299</v>
      </c>
      <c r="AE60" s="1">
        <v>0</v>
      </c>
      <c r="AF60" s="1">
        <v>1416720</v>
      </c>
    </row>
    <row r="61" spans="18:32" x14ac:dyDescent="0.25">
      <c r="R61" s="25">
        <v>59</v>
      </c>
      <c r="S61" s="10">
        <v>44123</v>
      </c>
      <c r="T61" s="10" t="s">
        <v>24</v>
      </c>
      <c r="U61" t="s">
        <v>20</v>
      </c>
      <c r="V61" t="s">
        <v>45</v>
      </c>
      <c r="W61" s="46" t="str">
        <f t="shared" si="8"/>
        <v>Europe</v>
      </c>
      <c r="X61" s="26" t="s">
        <v>27</v>
      </c>
      <c r="Y61" s="1">
        <v>3008027</v>
      </c>
      <c r="Z61" s="1">
        <v>0</v>
      </c>
      <c r="AA61" s="1">
        <v>1784683</v>
      </c>
      <c r="AB61" s="46" t="str">
        <f t="shared" si="9"/>
        <v>Unrealized</v>
      </c>
      <c r="AC61" s="1">
        <v>1784683</v>
      </c>
      <c r="AD61" s="11">
        <v>0.59330684199310713</v>
      </c>
      <c r="AE61" s="1">
        <v>0</v>
      </c>
      <c r="AF61" s="1">
        <v>3483308</v>
      </c>
    </row>
    <row r="62" spans="18:32" x14ac:dyDescent="0.25">
      <c r="R62" s="25">
        <v>60</v>
      </c>
      <c r="S62" s="10">
        <v>43778</v>
      </c>
      <c r="T62" s="10">
        <v>44522</v>
      </c>
      <c r="U62" t="s">
        <v>20</v>
      </c>
      <c r="V62" t="s">
        <v>30</v>
      </c>
      <c r="W62" s="46" t="str">
        <f t="shared" si="8"/>
        <v>USA</v>
      </c>
      <c r="X62" s="26" t="s">
        <v>27</v>
      </c>
      <c r="Y62" s="1">
        <v>2881151</v>
      </c>
      <c r="Z62" s="1">
        <v>2550206</v>
      </c>
      <c r="AA62" s="1">
        <v>0</v>
      </c>
      <c r="AB62" s="46" t="str">
        <f t="shared" si="9"/>
        <v>Realized</v>
      </c>
      <c r="AC62" s="1">
        <v>2550206</v>
      </c>
      <c r="AD62" s="11">
        <v>0.88513444800359298</v>
      </c>
      <c r="AE62" s="1">
        <v>0</v>
      </c>
      <c r="AF62" s="1">
        <v>3884920</v>
      </c>
    </row>
    <row r="63" spans="18:32" x14ac:dyDescent="0.25">
      <c r="R63" s="25">
        <v>61</v>
      </c>
      <c r="S63" s="10">
        <v>44012</v>
      </c>
      <c r="T63" s="10" t="s">
        <v>24</v>
      </c>
      <c r="U63" t="s">
        <v>29</v>
      </c>
      <c r="V63" t="s">
        <v>46</v>
      </c>
      <c r="W63" s="46" t="str">
        <f t="shared" si="8"/>
        <v>APAC</v>
      </c>
      <c r="X63" s="26" t="s">
        <v>27</v>
      </c>
      <c r="Y63" s="1">
        <v>4078300</v>
      </c>
      <c r="Z63" s="1">
        <v>0</v>
      </c>
      <c r="AA63" s="1">
        <v>1851337</v>
      </c>
      <c r="AB63" s="46" t="str">
        <f t="shared" si="9"/>
        <v>Unrealized</v>
      </c>
      <c r="AC63" s="1">
        <v>1851337</v>
      </c>
      <c r="AD63" s="11">
        <v>0.45394821371649952</v>
      </c>
      <c r="AE63" s="1">
        <v>0</v>
      </c>
      <c r="AF63" s="1">
        <v>1928136</v>
      </c>
    </row>
    <row r="64" spans="18:32" x14ac:dyDescent="0.25">
      <c r="R64" s="25">
        <v>62</v>
      </c>
      <c r="S64" s="10">
        <v>43677</v>
      </c>
      <c r="T64" s="10">
        <v>45130</v>
      </c>
      <c r="U64" t="s">
        <v>40</v>
      </c>
      <c r="V64" t="s">
        <v>30</v>
      </c>
      <c r="W64" s="46" t="str">
        <f t="shared" si="8"/>
        <v>USA</v>
      </c>
      <c r="X64" s="26" t="s">
        <v>34</v>
      </c>
      <c r="Y64" s="1">
        <v>3158007</v>
      </c>
      <c r="Z64" s="1">
        <v>1573934</v>
      </c>
      <c r="AA64" s="1">
        <v>0</v>
      </c>
      <c r="AB64" s="46" t="str">
        <f t="shared" si="9"/>
        <v>Realized</v>
      </c>
      <c r="AC64" s="1">
        <v>1573934</v>
      </c>
      <c r="AD64" s="11">
        <v>0.49839471540120078</v>
      </c>
      <c r="AE64" s="1">
        <v>18893098</v>
      </c>
      <c r="AF64" s="1">
        <v>27111598</v>
      </c>
    </row>
    <row r="65" spans="18:32" x14ac:dyDescent="0.25">
      <c r="R65" s="25">
        <v>63</v>
      </c>
      <c r="S65" s="10">
        <v>43938</v>
      </c>
      <c r="T65" s="10" t="s">
        <v>24</v>
      </c>
      <c r="U65" t="s">
        <v>20</v>
      </c>
      <c r="V65" t="s">
        <v>30</v>
      </c>
      <c r="W65" s="46" t="str">
        <f t="shared" si="8"/>
        <v>USA</v>
      </c>
      <c r="X65" s="26" t="s">
        <v>27</v>
      </c>
      <c r="Y65" s="1">
        <v>3124739</v>
      </c>
      <c r="Z65" s="1">
        <v>4413136</v>
      </c>
      <c r="AA65" s="1">
        <v>2826068</v>
      </c>
      <c r="AB65" s="46" t="str">
        <f t="shared" si="9"/>
        <v>Unrealized</v>
      </c>
      <c r="AC65" s="1">
        <v>7239204</v>
      </c>
      <c r="AD65" s="11">
        <v>2.3167387740224061</v>
      </c>
      <c r="AE65" s="1">
        <v>0</v>
      </c>
      <c r="AF65" s="1">
        <v>3903203</v>
      </c>
    </row>
    <row r="66" spans="18:32" x14ac:dyDescent="0.25">
      <c r="R66" s="25">
        <v>64</v>
      </c>
      <c r="S66" s="10">
        <v>44152</v>
      </c>
      <c r="T66" s="10">
        <v>45336</v>
      </c>
      <c r="U66" t="s">
        <v>36</v>
      </c>
      <c r="V66" t="s">
        <v>30</v>
      </c>
      <c r="W66" s="46" t="str">
        <f t="shared" si="8"/>
        <v>USA</v>
      </c>
      <c r="X66" s="26" t="s">
        <v>22</v>
      </c>
      <c r="Y66" s="1">
        <v>4788535</v>
      </c>
      <c r="Z66" s="1">
        <v>604756</v>
      </c>
      <c r="AA66" s="1">
        <v>0</v>
      </c>
      <c r="AB66" s="46" t="str">
        <f t="shared" si="9"/>
        <v>Realized</v>
      </c>
      <c r="AC66" s="1">
        <v>604756</v>
      </c>
      <c r="AD66" s="11">
        <v>0.12629248820359459</v>
      </c>
      <c r="AE66" s="1">
        <v>4027286</v>
      </c>
      <c r="AF66" s="1">
        <v>31197080</v>
      </c>
    </row>
    <row r="67" spans="18:32" x14ac:dyDescent="0.25">
      <c r="R67" s="25">
        <v>65</v>
      </c>
      <c r="S67" s="10">
        <v>43980</v>
      </c>
      <c r="T67" s="10">
        <v>44378</v>
      </c>
      <c r="U67" t="s">
        <v>20</v>
      </c>
      <c r="V67" t="s">
        <v>47</v>
      </c>
      <c r="W67" s="46" t="str">
        <f t="shared" si="8"/>
        <v>APAC</v>
      </c>
      <c r="X67" s="26" t="s">
        <v>34</v>
      </c>
      <c r="Y67" s="1">
        <v>2948715</v>
      </c>
      <c r="Z67" s="1">
        <v>4955891</v>
      </c>
      <c r="AA67" s="1">
        <v>0</v>
      </c>
      <c r="AB67" s="46" t="str">
        <f t="shared" si="9"/>
        <v>Realized</v>
      </c>
      <c r="AC67" s="1">
        <v>4955891</v>
      </c>
      <c r="AD67" s="11">
        <v>1.680695150260368</v>
      </c>
      <c r="AE67" s="1">
        <v>19413149</v>
      </c>
      <c r="AF67" s="1">
        <v>20019354</v>
      </c>
    </row>
    <row r="68" spans="18:32" x14ac:dyDescent="0.25">
      <c r="R68" s="25">
        <v>66</v>
      </c>
      <c r="S68" s="10">
        <v>43750</v>
      </c>
      <c r="T68" s="10" t="s">
        <v>24</v>
      </c>
      <c r="U68" t="s">
        <v>33</v>
      </c>
      <c r="V68" t="s">
        <v>30</v>
      </c>
      <c r="W68" s="46" t="str">
        <f t="shared" si="8"/>
        <v>USA</v>
      </c>
      <c r="X68" s="26" t="s">
        <v>27</v>
      </c>
      <c r="Y68" s="1">
        <v>4114919</v>
      </c>
      <c r="Z68" s="1">
        <v>4263602</v>
      </c>
      <c r="AA68" s="1">
        <v>3386825</v>
      </c>
      <c r="AB68" s="46" t="str">
        <f t="shared" si="9"/>
        <v>Unrealized</v>
      </c>
      <c r="AC68" s="1">
        <v>7650427</v>
      </c>
      <c r="AD68" s="11">
        <v>1.8591926110817729</v>
      </c>
      <c r="AE68" s="1">
        <v>0</v>
      </c>
      <c r="AF68" s="1">
        <v>3841146</v>
      </c>
    </row>
    <row r="69" spans="18:32" x14ac:dyDescent="0.25">
      <c r="R69" s="25">
        <v>67</v>
      </c>
      <c r="S69" s="10">
        <v>43692</v>
      </c>
      <c r="T69" s="10">
        <v>44652</v>
      </c>
      <c r="U69" t="s">
        <v>20</v>
      </c>
      <c r="V69" t="s">
        <v>47</v>
      </c>
      <c r="W69" s="46" t="str">
        <f t="shared" si="8"/>
        <v>APAC</v>
      </c>
      <c r="X69" s="26" t="s">
        <v>22</v>
      </c>
      <c r="Y69" s="1">
        <v>1481239</v>
      </c>
      <c r="Z69" s="1">
        <v>4218214</v>
      </c>
      <c r="AA69" s="1">
        <v>0</v>
      </c>
      <c r="AB69" s="46" t="str">
        <f t="shared" si="9"/>
        <v>Realized</v>
      </c>
      <c r="AC69" s="1">
        <v>4218214</v>
      </c>
      <c r="AD69" s="11">
        <v>2.8477605572092011</v>
      </c>
      <c r="AE69" s="1">
        <v>12520222</v>
      </c>
      <c r="AF69" s="1">
        <v>52416989</v>
      </c>
    </row>
    <row r="70" spans="18:32" x14ac:dyDescent="0.25">
      <c r="R70" s="25">
        <v>68</v>
      </c>
      <c r="S70" s="10">
        <v>43997</v>
      </c>
      <c r="T70" s="10">
        <v>44303</v>
      </c>
      <c r="U70" t="s">
        <v>36</v>
      </c>
      <c r="V70" t="s">
        <v>47</v>
      </c>
      <c r="W70" s="46" t="str">
        <f t="shared" si="8"/>
        <v>APAC</v>
      </c>
      <c r="X70" s="26" t="s">
        <v>31</v>
      </c>
      <c r="Y70" s="1">
        <v>4301191</v>
      </c>
      <c r="Z70" s="1">
        <v>2791944</v>
      </c>
      <c r="AA70" s="1">
        <v>0</v>
      </c>
      <c r="AB70" s="46" t="str">
        <f t="shared" si="9"/>
        <v>Realized</v>
      </c>
      <c r="AC70" s="1">
        <v>2791944</v>
      </c>
      <c r="AD70" s="11">
        <v>0.64910951408574968</v>
      </c>
      <c r="AE70" s="1">
        <v>19282968</v>
      </c>
      <c r="AF70" s="1">
        <v>93288005</v>
      </c>
    </row>
    <row r="71" spans="18:32" x14ac:dyDescent="0.25">
      <c r="R71" s="25">
        <v>69</v>
      </c>
      <c r="S71" s="10">
        <v>43863</v>
      </c>
      <c r="T71" s="10" t="s">
        <v>24</v>
      </c>
      <c r="U71" t="s">
        <v>29</v>
      </c>
      <c r="V71" t="s">
        <v>47</v>
      </c>
      <c r="W71" s="46" t="str">
        <f t="shared" si="8"/>
        <v>APAC</v>
      </c>
      <c r="X71" s="26" t="s">
        <v>31</v>
      </c>
      <c r="Y71" s="1">
        <v>4321510</v>
      </c>
      <c r="Z71" s="1">
        <v>2929690</v>
      </c>
      <c r="AA71" s="1">
        <v>3257912</v>
      </c>
      <c r="AB71" s="46" t="str">
        <f t="shared" si="9"/>
        <v>Unrealized</v>
      </c>
      <c r="AC71" s="1">
        <v>6187602</v>
      </c>
      <c r="AD71" s="11">
        <v>1.431814805473087</v>
      </c>
      <c r="AE71" s="1">
        <v>21218123</v>
      </c>
      <c r="AF71" s="1">
        <v>67292424</v>
      </c>
    </row>
    <row r="72" spans="18:32" x14ac:dyDescent="0.25">
      <c r="R72" s="25">
        <v>70</v>
      </c>
      <c r="S72" s="10">
        <v>43695</v>
      </c>
      <c r="T72" s="10" t="s">
        <v>24</v>
      </c>
      <c r="U72" t="s">
        <v>36</v>
      </c>
      <c r="V72" t="s">
        <v>45</v>
      </c>
      <c r="W72" s="46" t="str">
        <f t="shared" si="8"/>
        <v>Europe</v>
      </c>
      <c r="X72" s="26" t="s">
        <v>27</v>
      </c>
      <c r="Y72" s="1">
        <v>4325938</v>
      </c>
      <c r="Z72" s="1">
        <v>0</v>
      </c>
      <c r="AA72" s="1">
        <v>3011182</v>
      </c>
      <c r="AB72" s="46" t="str">
        <f t="shared" si="9"/>
        <v>Unrealized</v>
      </c>
      <c r="AC72" s="1">
        <v>3011182</v>
      </c>
      <c r="AD72" s="11">
        <v>0.6960760880068092</v>
      </c>
      <c r="AE72" s="1">
        <v>0</v>
      </c>
      <c r="AF72" s="1">
        <v>1870706</v>
      </c>
    </row>
    <row r="73" spans="18:32" x14ac:dyDescent="0.25">
      <c r="R73" s="25">
        <v>71</v>
      </c>
      <c r="S73" s="10">
        <v>43963</v>
      </c>
      <c r="T73" s="10" t="s">
        <v>24</v>
      </c>
      <c r="U73" t="s">
        <v>20</v>
      </c>
      <c r="V73" t="s">
        <v>30</v>
      </c>
      <c r="W73" s="46" t="str">
        <f t="shared" si="8"/>
        <v>USA</v>
      </c>
      <c r="X73" s="26" t="s">
        <v>27</v>
      </c>
      <c r="Y73" s="1">
        <v>3245832</v>
      </c>
      <c r="Z73" s="1">
        <v>2664831</v>
      </c>
      <c r="AA73" s="1">
        <v>4500232</v>
      </c>
      <c r="AB73" s="46" t="str">
        <f t="shared" si="9"/>
        <v>Unrealized</v>
      </c>
      <c r="AC73" s="1">
        <v>7165063</v>
      </c>
      <c r="AD73" s="11">
        <v>2.2074657591643678</v>
      </c>
      <c r="AE73" s="1">
        <v>0</v>
      </c>
      <c r="AF73" s="1">
        <v>2631765</v>
      </c>
    </row>
    <row r="74" spans="18:32" x14ac:dyDescent="0.25">
      <c r="R74" s="25">
        <v>72</v>
      </c>
      <c r="S74" s="10">
        <v>43745</v>
      </c>
      <c r="T74" s="10">
        <v>44974</v>
      </c>
      <c r="U74" t="s">
        <v>20</v>
      </c>
      <c r="V74" t="s">
        <v>30</v>
      </c>
      <c r="W74" s="46" t="str">
        <f t="shared" si="8"/>
        <v>USA</v>
      </c>
      <c r="X74" s="26" t="s">
        <v>27</v>
      </c>
      <c r="Y74" s="1">
        <v>4203863</v>
      </c>
      <c r="Z74" s="1">
        <v>1115289</v>
      </c>
      <c r="AA74" s="1">
        <v>0</v>
      </c>
      <c r="AB74" s="46" t="str">
        <f t="shared" si="9"/>
        <v>Realized</v>
      </c>
      <c r="AC74" s="1">
        <v>1115289</v>
      </c>
      <c r="AD74" s="11">
        <v>0.26530098625954268</v>
      </c>
      <c r="AE74" s="1">
        <v>0</v>
      </c>
      <c r="AF74" s="1">
        <v>3739027</v>
      </c>
    </row>
    <row r="75" spans="18:32" x14ac:dyDescent="0.25">
      <c r="R75" s="25">
        <v>73</v>
      </c>
      <c r="S75" s="10">
        <v>43575</v>
      </c>
      <c r="T75" s="10" t="s">
        <v>24</v>
      </c>
      <c r="U75" t="s">
        <v>20</v>
      </c>
      <c r="V75" t="s">
        <v>47</v>
      </c>
      <c r="W75" s="46" t="str">
        <f t="shared" si="8"/>
        <v>APAC</v>
      </c>
      <c r="X75" s="26" t="s">
        <v>27</v>
      </c>
      <c r="Y75" s="1">
        <v>1669064</v>
      </c>
      <c r="Z75" s="1">
        <v>2174460</v>
      </c>
      <c r="AA75" s="1">
        <v>930282</v>
      </c>
      <c r="AB75" s="46" t="str">
        <f t="shared" si="9"/>
        <v>Unrealized</v>
      </c>
      <c r="AC75" s="1">
        <v>3104742</v>
      </c>
      <c r="AD75" s="11">
        <v>1.8601695321449629</v>
      </c>
      <c r="AE75" s="1">
        <v>0</v>
      </c>
      <c r="AF75" s="1">
        <v>2008355</v>
      </c>
    </row>
    <row r="76" spans="18:32" x14ac:dyDescent="0.25">
      <c r="R76" s="25">
        <v>74</v>
      </c>
      <c r="S76" s="10">
        <v>43738</v>
      </c>
      <c r="T76" s="10">
        <v>44712</v>
      </c>
      <c r="U76" t="s">
        <v>33</v>
      </c>
      <c r="V76" t="s">
        <v>47</v>
      </c>
      <c r="W76" s="46" t="str">
        <f t="shared" si="8"/>
        <v>APAC</v>
      </c>
      <c r="X76" s="26" t="s">
        <v>34</v>
      </c>
      <c r="Y76" s="1">
        <v>1106793</v>
      </c>
      <c r="Z76" s="1">
        <v>3020819</v>
      </c>
      <c r="AA76" s="1">
        <v>0</v>
      </c>
      <c r="AB76" s="46" t="str">
        <f t="shared" si="9"/>
        <v>Realized</v>
      </c>
      <c r="AC76" s="1">
        <v>3020819</v>
      </c>
      <c r="AD76" s="11">
        <v>2.7293441501708089</v>
      </c>
      <c r="AE76" s="1">
        <v>7834670</v>
      </c>
      <c r="AF76" s="1">
        <v>69147253</v>
      </c>
    </row>
    <row r="77" spans="18:32" x14ac:dyDescent="0.25">
      <c r="R77" s="25">
        <v>75</v>
      </c>
      <c r="S77" s="10">
        <v>43746</v>
      </c>
      <c r="T77" s="10" t="s">
        <v>24</v>
      </c>
      <c r="U77" t="s">
        <v>29</v>
      </c>
      <c r="V77" t="s">
        <v>30</v>
      </c>
      <c r="W77" s="46" t="str">
        <f t="shared" si="8"/>
        <v>USA</v>
      </c>
      <c r="X77" s="26" t="s">
        <v>22</v>
      </c>
      <c r="Y77" s="1">
        <v>2459156</v>
      </c>
      <c r="Z77" s="1">
        <v>0</v>
      </c>
      <c r="AA77" s="1">
        <v>10994</v>
      </c>
      <c r="AB77" s="46" t="str">
        <f t="shared" si="9"/>
        <v>Unrealized</v>
      </c>
      <c r="AC77" s="1">
        <v>10994</v>
      </c>
      <c r="AD77" s="11">
        <v>4.4706395202256388E-3</v>
      </c>
      <c r="AE77" s="1">
        <v>8538627</v>
      </c>
      <c r="AF77" s="1">
        <v>35938501</v>
      </c>
    </row>
    <row r="78" spans="18:32" x14ac:dyDescent="0.25">
      <c r="R78" s="25">
        <v>76</v>
      </c>
      <c r="S78" s="10">
        <v>44198</v>
      </c>
      <c r="T78" s="10" t="s">
        <v>24</v>
      </c>
      <c r="U78" t="s">
        <v>20</v>
      </c>
      <c r="V78" t="s">
        <v>30</v>
      </c>
      <c r="W78" s="46" t="str">
        <f t="shared" si="8"/>
        <v>USA</v>
      </c>
      <c r="X78" s="26" t="s">
        <v>22</v>
      </c>
      <c r="Y78" s="1">
        <v>1202160</v>
      </c>
      <c r="Z78" s="1">
        <v>1670901</v>
      </c>
      <c r="AA78" s="1">
        <v>701781</v>
      </c>
      <c r="AB78" s="46" t="str">
        <f t="shared" si="9"/>
        <v>Unrealized</v>
      </c>
      <c r="AC78" s="1">
        <v>2372682</v>
      </c>
      <c r="AD78" s="11">
        <v>1.973682371730884</v>
      </c>
      <c r="AE78" s="1">
        <v>6067203</v>
      </c>
      <c r="AF78" s="1">
        <v>33640811</v>
      </c>
    </row>
    <row r="79" spans="18:32" x14ac:dyDescent="0.25">
      <c r="R79" s="25">
        <v>77</v>
      </c>
      <c r="S79" s="10">
        <v>44170</v>
      </c>
      <c r="T79" s="10" t="s">
        <v>24</v>
      </c>
      <c r="U79" t="s">
        <v>29</v>
      </c>
      <c r="V79" t="s">
        <v>48</v>
      </c>
      <c r="W79" s="46" t="str">
        <f t="shared" si="8"/>
        <v>Europe</v>
      </c>
      <c r="X79" s="26" t="s">
        <v>27</v>
      </c>
      <c r="Y79" s="1">
        <v>4104964</v>
      </c>
      <c r="Z79" s="1">
        <v>0</v>
      </c>
      <c r="AA79" s="1">
        <v>3226978</v>
      </c>
      <c r="AB79" s="46" t="str">
        <f t="shared" si="9"/>
        <v>Unrealized</v>
      </c>
      <c r="AC79" s="1">
        <v>3226978</v>
      </c>
      <c r="AD79" s="11">
        <v>0.7861160292757744</v>
      </c>
      <c r="AE79" s="1">
        <v>0</v>
      </c>
      <c r="AF79" s="1">
        <v>1313295</v>
      </c>
    </row>
    <row r="80" spans="18:32" x14ac:dyDescent="0.25">
      <c r="R80" s="25">
        <v>78</v>
      </c>
      <c r="S80" s="10">
        <v>44270</v>
      </c>
      <c r="T80" s="10" t="s">
        <v>24</v>
      </c>
      <c r="U80" t="s">
        <v>20</v>
      </c>
      <c r="V80" t="s">
        <v>30</v>
      </c>
      <c r="W80" s="46" t="str">
        <f t="shared" si="8"/>
        <v>USA</v>
      </c>
      <c r="X80" s="26" t="s">
        <v>22</v>
      </c>
      <c r="Y80" s="1">
        <v>1187766</v>
      </c>
      <c r="Z80" s="1">
        <v>4237751</v>
      </c>
      <c r="AA80" s="1">
        <v>2569982</v>
      </c>
      <c r="AB80" s="46" t="str">
        <f t="shared" si="9"/>
        <v>Unrealized</v>
      </c>
      <c r="AC80" s="1">
        <v>6807733</v>
      </c>
      <c r="AD80" s="11">
        <v>5.7315439236347903</v>
      </c>
      <c r="AE80" s="1">
        <v>13598074</v>
      </c>
      <c r="AF80" s="1">
        <v>5081271</v>
      </c>
    </row>
    <row r="81" spans="18:32" x14ac:dyDescent="0.25">
      <c r="R81" s="25">
        <v>79</v>
      </c>
      <c r="S81" s="10">
        <v>43827</v>
      </c>
      <c r="T81" s="10">
        <v>45230</v>
      </c>
      <c r="U81" t="s">
        <v>29</v>
      </c>
      <c r="V81" t="s">
        <v>48</v>
      </c>
      <c r="W81" s="46" t="str">
        <f t="shared" si="8"/>
        <v>Europe</v>
      </c>
      <c r="X81" s="26" t="s">
        <v>34</v>
      </c>
      <c r="Y81" s="1">
        <v>2466707</v>
      </c>
      <c r="Z81" s="1">
        <v>3725739</v>
      </c>
      <c r="AA81" s="1">
        <v>0</v>
      </c>
      <c r="AB81" s="46" t="str">
        <f t="shared" si="9"/>
        <v>Realized</v>
      </c>
      <c r="AC81" s="1">
        <v>3725739</v>
      </c>
      <c r="AD81" s="11">
        <v>1.5104100324846039</v>
      </c>
      <c r="AE81" s="1">
        <v>18027913</v>
      </c>
      <c r="AF81" s="1">
        <v>35621563</v>
      </c>
    </row>
    <row r="82" spans="18:32" x14ac:dyDescent="0.25">
      <c r="R82" s="25">
        <v>80</v>
      </c>
      <c r="S82" s="10">
        <v>43864</v>
      </c>
      <c r="T82" s="10" t="s">
        <v>24</v>
      </c>
      <c r="U82" t="s">
        <v>40</v>
      </c>
      <c r="V82" t="s">
        <v>30</v>
      </c>
      <c r="W82" s="46" t="str">
        <f t="shared" si="8"/>
        <v>USA</v>
      </c>
      <c r="X82" s="26" t="s">
        <v>31</v>
      </c>
      <c r="Y82" s="1">
        <v>3120596</v>
      </c>
      <c r="Z82" s="1">
        <v>0</v>
      </c>
      <c r="AA82" s="1">
        <v>647185</v>
      </c>
      <c r="AB82" s="46" t="str">
        <f t="shared" si="9"/>
        <v>Unrealized</v>
      </c>
      <c r="AC82" s="1">
        <v>647185</v>
      </c>
      <c r="AD82" s="11">
        <v>0.20739147265458269</v>
      </c>
      <c r="AE82" s="1">
        <v>10040522</v>
      </c>
      <c r="AF82" s="1">
        <v>118210398</v>
      </c>
    </row>
    <row r="83" spans="18:32" x14ac:dyDescent="0.25">
      <c r="R83" s="25">
        <v>81</v>
      </c>
      <c r="S83" s="10">
        <v>43715</v>
      </c>
      <c r="T83" s="10">
        <v>44690</v>
      </c>
      <c r="U83" t="s">
        <v>36</v>
      </c>
      <c r="V83" t="s">
        <v>48</v>
      </c>
      <c r="W83" s="46" t="str">
        <f t="shared" ref="W83:W114" si="10">IFERROR(INDEX($C$28:$C$35, MATCH(V83, $B$28:$B$35, 0)), "")</f>
        <v>Europe</v>
      </c>
      <c r="X83" s="26" t="s">
        <v>22</v>
      </c>
      <c r="Y83" s="1">
        <v>2754023</v>
      </c>
      <c r="Z83" s="1">
        <v>3584093</v>
      </c>
      <c r="AA83" s="1">
        <v>0</v>
      </c>
      <c r="AB83" s="46" t="str">
        <f t="shared" ref="AB83:AB102" si="11">IF($AA83=0, "Realized", "Unrealized")</f>
        <v>Realized</v>
      </c>
      <c r="AC83" s="1">
        <v>3584093</v>
      </c>
      <c r="AD83" s="11">
        <v>1.301402711596817</v>
      </c>
      <c r="AE83" s="1">
        <v>3545286</v>
      </c>
      <c r="AF83" s="1">
        <v>10172824</v>
      </c>
    </row>
    <row r="84" spans="18:32" x14ac:dyDescent="0.25">
      <c r="R84" s="25">
        <v>82</v>
      </c>
      <c r="S84" s="10">
        <v>44060</v>
      </c>
      <c r="T84" s="10" t="s">
        <v>24</v>
      </c>
      <c r="U84" t="s">
        <v>25</v>
      </c>
      <c r="V84" t="s">
        <v>30</v>
      </c>
      <c r="W84" s="46" t="str">
        <f t="shared" si="10"/>
        <v>USA</v>
      </c>
      <c r="X84" s="26" t="s">
        <v>22</v>
      </c>
      <c r="Y84" s="1">
        <v>4198108</v>
      </c>
      <c r="Z84" s="1">
        <v>0</v>
      </c>
      <c r="AA84" s="1">
        <v>2346017</v>
      </c>
      <c r="AB84" s="46" t="str">
        <f t="shared" si="11"/>
        <v>Unrealized</v>
      </c>
      <c r="AC84" s="1">
        <v>2346017</v>
      </c>
      <c r="AD84" s="11">
        <v>0.55882721454521889</v>
      </c>
      <c r="AE84" s="1">
        <v>10498748</v>
      </c>
      <c r="AF84" s="1">
        <v>24516313</v>
      </c>
    </row>
    <row r="85" spans="18:32" x14ac:dyDescent="0.25">
      <c r="R85" s="25">
        <v>83</v>
      </c>
      <c r="S85" s="10">
        <v>43928</v>
      </c>
      <c r="T85" s="10" t="s">
        <v>24</v>
      </c>
      <c r="U85" t="s">
        <v>20</v>
      </c>
      <c r="V85" t="s">
        <v>47</v>
      </c>
      <c r="W85" s="46" t="str">
        <f t="shared" si="10"/>
        <v>APAC</v>
      </c>
      <c r="X85" s="26" t="s">
        <v>27</v>
      </c>
      <c r="Y85" s="1">
        <v>3563281</v>
      </c>
      <c r="Z85" s="1">
        <v>1112001</v>
      </c>
      <c r="AA85" s="1">
        <v>23670</v>
      </c>
      <c r="AB85" s="46" t="str">
        <f t="shared" si="11"/>
        <v>Unrealized</v>
      </c>
      <c r="AC85" s="1">
        <v>1135671</v>
      </c>
      <c r="AD85" s="11">
        <v>0.31871497083727052</v>
      </c>
      <c r="AE85" s="1">
        <v>0</v>
      </c>
      <c r="AF85" s="1">
        <v>2534801</v>
      </c>
    </row>
    <row r="86" spans="18:32" x14ac:dyDescent="0.25">
      <c r="R86" s="25">
        <v>84</v>
      </c>
      <c r="S86" s="10">
        <v>43790</v>
      </c>
      <c r="T86" s="10" t="s">
        <v>24</v>
      </c>
      <c r="U86" t="s">
        <v>20</v>
      </c>
      <c r="V86" t="s">
        <v>48</v>
      </c>
      <c r="W86" s="46" t="str">
        <f t="shared" si="10"/>
        <v>Europe</v>
      </c>
      <c r="X86" s="26" t="s">
        <v>22</v>
      </c>
      <c r="Y86" s="1">
        <v>1202106</v>
      </c>
      <c r="Z86" s="1">
        <v>3065656</v>
      </c>
      <c r="AA86" s="1">
        <v>261960</v>
      </c>
      <c r="AB86" s="46" t="str">
        <f t="shared" si="11"/>
        <v>Unrealized</v>
      </c>
      <c r="AC86" s="1">
        <v>3327616</v>
      </c>
      <c r="AD86" s="11">
        <v>2.7681552209206171</v>
      </c>
      <c r="AE86" s="1">
        <v>6553542</v>
      </c>
      <c r="AF86" s="1">
        <v>39085643</v>
      </c>
    </row>
    <row r="87" spans="18:32" x14ac:dyDescent="0.25">
      <c r="R87" s="25">
        <v>85</v>
      </c>
      <c r="S87" s="10">
        <v>43957</v>
      </c>
      <c r="T87" s="10">
        <v>44319</v>
      </c>
      <c r="U87" t="s">
        <v>36</v>
      </c>
      <c r="V87" t="s">
        <v>47</v>
      </c>
      <c r="W87" s="46" t="str">
        <f t="shared" si="10"/>
        <v>APAC</v>
      </c>
      <c r="X87" s="26" t="s">
        <v>34</v>
      </c>
      <c r="Y87" s="1">
        <v>3022716</v>
      </c>
      <c r="Z87" s="1">
        <v>3537314</v>
      </c>
      <c r="AA87" s="1">
        <v>0</v>
      </c>
      <c r="AB87" s="46" t="str">
        <f t="shared" si="11"/>
        <v>Realized</v>
      </c>
      <c r="AC87" s="1">
        <v>3537314</v>
      </c>
      <c r="AD87" s="11">
        <v>1.17024358226178</v>
      </c>
      <c r="AE87" s="1">
        <v>6421423</v>
      </c>
      <c r="AF87" s="1">
        <v>75672681</v>
      </c>
    </row>
    <row r="88" spans="18:32" x14ac:dyDescent="0.25">
      <c r="R88" s="25">
        <v>86</v>
      </c>
      <c r="S88" s="10">
        <v>44252</v>
      </c>
      <c r="T88" s="10" t="s">
        <v>24</v>
      </c>
      <c r="U88" t="s">
        <v>20</v>
      </c>
      <c r="V88" t="s">
        <v>47</v>
      </c>
      <c r="W88" s="46" t="str">
        <f t="shared" si="10"/>
        <v>APAC</v>
      </c>
      <c r="X88" s="26" t="s">
        <v>27</v>
      </c>
      <c r="Y88" s="1">
        <v>1643201</v>
      </c>
      <c r="Z88" s="1">
        <v>0</v>
      </c>
      <c r="AA88" s="1">
        <v>3737674</v>
      </c>
      <c r="AB88" s="46" t="str">
        <f t="shared" si="11"/>
        <v>Unrealized</v>
      </c>
      <c r="AC88" s="1">
        <v>3737674</v>
      </c>
      <c r="AD88" s="11">
        <v>2.2746298231318018</v>
      </c>
      <c r="AE88" s="1">
        <v>0</v>
      </c>
      <c r="AF88" s="1">
        <v>1342133</v>
      </c>
    </row>
    <row r="89" spans="18:32" x14ac:dyDescent="0.25">
      <c r="R89" s="25">
        <v>87</v>
      </c>
      <c r="S89" s="10">
        <v>43570</v>
      </c>
      <c r="T89" s="10" t="s">
        <v>24</v>
      </c>
      <c r="U89" t="s">
        <v>36</v>
      </c>
      <c r="V89" t="s">
        <v>30</v>
      </c>
      <c r="W89" s="46" t="str">
        <f t="shared" si="10"/>
        <v>USA</v>
      </c>
      <c r="X89" s="26" t="s">
        <v>27</v>
      </c>
      <c r="Y89" s="1">
        <v>4644905</v>
      </c>
      <c r="Z89" s="1">
        <v>4891318</v>
      </c>
      <c r="AA89" s="1">
        <v>4065586</v>
      </c>
      <c r="AB89" s="46" t="str">
        <f t="shared" si="11"/>
        <v>Unrealized</v>
      </c>
      <c r="AC89" s="1">
        <v>8956904</v>
      </c>
      <c r="AD89" s="11">
        <v>1.928328781751188</v>
      </c>
      <c r="AE89" s="1">
        <v>0</v>
      </c>
      <c r="AF89" s="1">
        <v>1333191</v>
      </c>
    </row>
    <row r="90" spans="18:32" x14ac:dyDescent="0.25">
      <c r="R90" s="25">
        <v>88</v>
      </c>
      <c r="S90" s="10">
        <v>43758</v>
      </c>
      <c r="T90" s="10" t="s">
        <v>24</v>
      </c>
      <c r="U90" t="s">
        <v>20</v>
      </c>
      <c r="V90" t="s">
        <v>49</v>
      </c>
      <c r="W90" s="46" t="str">
        <f t="shared" si="10"/>
        <v>APAC</v>
      </c>
      <c r="X90" s="26" t="s">
        <v>27</v>
      </c>
      <c r="Y90" s="1">
        <v>1831452</v>
      </c>
      <c r="Z90" s="1">
        <v>4580030</v>
      </c>
      <c r="AA90" s="1">
        <v>4552243</v>
      </c>
      <c r="AB90" s="46" t="str">
        <f t="shared" si="11"/>
        <v>Unrealized</v>
      </c>
      <c r="AC90" s="1">
        <v>9132273</v>
      </c>
      <c r="AD90" s="11">
        <v>4.9863567267938222</v>
      </c>
      <c r="AE90" s="1">
        <v>0</v>
      </c>
      <c r="AF90" s="1">
        <v>2367334</v>
      </c>
    </row>
    <row r="91" spans="18:32" x14ac:dyDescent="0.25">
      <c r="R91" s="25">
        <v>89</v>
      </c>
      <c r="S91" s="10">
        <v>43973</v>
      </c>
      <c r="T91" s="10" t="s">
        <v>24</v>
      </c>
      <c r="U91" t="s">
        <v>20</v>
      </c>
      <c r="V91" t="s">
        <v>30</v>
      </c>
      <c r="W91" s="46" t="str">
        <f t="shared" si="10"/>
        <v>USA</v>
      </c>
      <c r="X91" s="26" t="s">
        <v>27</v>
      </c>
      <c r="Y91" s="1">
        <v>4585096</v>
      </c>
      <c r="Z91" s="1">
        <v>4119161</v>
      </c>
      <c r="AA91" s="1">
        <v>2174857</v>
      </c>
      <c r="AB91" s="46" t="str">
        <f t="shared" si="11"/>
        <v>Unrealized</v>
      </c>
      <c r="AC91" s="1">
        <v>6294018</v>
      </c>
      <c r="AD91" s="11">
        <v>1.37271237068973</v>
      </c>
      <c r="AE91" s="1">
        <v>0</v>
      </c>
      <c r="AF91" s="1">
        <v>2189594</v>
      </c>
    </row>
    <row r="92" spans="18:32" x14ac:dyDescent="0.25">
      <c r="R92" s="25">
        <v>90</v>
      </c>
      <c r="S92" s="10">
        <v>43783</v>
      </c>
      <c r="T92" s="10">
        <v>44337</v>
      </c>
      <c r="U92" t="s">
        <v>33</v>
      </c>
      <c r="V92" t="s">
        <v>49</v>
      </c>
      <c r="W92" s="46" t="str">
        <f t="shared" si="10"/>
        <v>APAC</v>
      </c>
      <c r="X92" s="26" t="s">
        <v>31</v>
      </c>
      <c r="Y92" s="1">
        <v>3714052</v>
      </c>
      <c r="Z92" s="1">
        <v>2869837</v>
      </c>
      <c r="AA92" s="1">
        <v>0</v>
      </c>
      <c r="AB92" s="46" t="str">
        <f t="shared" si="11"/>
        <v>Realized</v>
      </c>
      <c r="AC92" s="1">
        <v>2869837</v>
      </c>
      <c r="AD92" s="11">
        <v>0.77269704355243274</v>
      </c>
      <c r="AE92" s="1">
        <v>21397493</v>
      </c>
      <c r="AF92" s="1">
        <v>106787665</v>
      </c>
    </row>
    <row r="93" spans="18:32" x14ac:dyDescent="0.25">
      <c r="R93" s="25">
        <v>91</v>
      </c>
      <c r="S93" s="10">
        <v>43681</v>
      </c>
      <c r="T93" s="10" t="s">
        <v>24</v>
      </c>
      <c r="U93" t="s">
        <v>33</v>
      </c>
      <c r="V93" t="s">
        <v>49</v>
      </c>
      <c r="W93" s="46" t="str">
        <f t="shared" si="10"/>
        <v>APAC</v>
      </c>
      <c r="X93" s="26" t="s">
        <v>22</v>
      </c>
      <c r="Y93" s="1">
        <v>3021471</v>
      </c>
      <c r="Z93" s="1">
        <v>2446523</v>
      </c>
      <c r="AA93" s="1">
        <v>1814277</v>
      </c>
      <c r="AB93" s="46" t="str">
        <f t="shared" si="11"/>
        <v>Unrealized</v>
      </c>
      <c r="AC93" s="1">
        <v>4260800</v>
      </c>
      <c r="AD93" s="11">
        <v>1.4101740509837759</v>
      </c>
      <c r="AE93" s="1">
        <v>11550145</v>
      </c>
      <c r="AF93" s="1">
        <v>25322116</v>
      </c>
    </row>
    <row r="94" spans="18:32" x14ac:dyDescent="0.25">
      <c r="R94" s="25">
        <v>92</v>
      </c>
      <c r="S94" s="10">
        <v>43993</v>
      </c>
      <c r="T94" s="10">
        <v>44937</v>
      </c>
      <c r="U94" t="s">
        <v>25</v>
      </c>
      <c r="V94" t="s">
        <v>26</v>
      </c>
      <c r="W94" s="46" t="str">
        <f t="shared" si="10"/>
        <v>APAC</v>
      </c>
      <c r="X94" s="26" t="s">
        <v>34</v>
      </c>
      <c r="Y94" s="1">
        <v>4004101</v>
      </c>
      <c r="Z94" s="1">
        <v>2641014</v>
      </c>
      <c r="AA94" s="1">
        <v>0</v>
      </c>
      <c r="AB94" s="46" t="str">
        <f t="shared" si="11"/>
        <v>Realized</v>
      </c>
      <c r="AC94" s="1">
        <v>2641014</v>
      </c>
      <c r="AD94" s="11">
        <v>0.65957726840556719</v>
      </c>
      <c r="AE94" s="1">
        <v>10570996</v>
      </c>
      <c r="AF94" s="1">
        <v>76597713</v>
      </c>
    </row>
    <row r="95" spans="18:32" x14ac:dyDescent="0.25">
      <c r="R95" s="25">
        <v>93</v>
      </c>
      <c r="S95" s="10">
        <v>43754</v>
      </c>
      <c r="T95" s="10" t="s">
        <v>24</v>
      </c>
      <c r="U95" t="s">
        <v>29</v>
      </c>
      <c r="V95" t="s">
        <v>30</v>
      </c>
      <c r="W95" s="46" t="str">
        <f t="shared" si="10"/>
        <v>USA</v>
      </c>
      <c r="X95" s="26" t="s">
        <v>27</v>
      </c>
      <c r="Y95" s="1">
        <v>3433770</v>
      </c>
      <c r="Z95" s="1">
        <v>3570764</v>
      </c>
      <c r="AA95" s="1">
        <v>740579</v>
      </c>
      <c r="AB95" s="46" t="str">
        <f t="shared" si="11"/>
        <v>Unrealized</v>
      </c>
      <c r="AC95" s="1">
        <v>4311343</v>
      </c>
      <c r="AD95" s="11">
        <v>1.2555712817107729</v>
      </c>
      <c r="AE95" s="1">
        <v>0</v>
      </c>
      <c r="AF95" s="1">
        <v>3704952</v>
      </c>
    </row>
    <row r="96" spans="18:32" x14ac:dyDescent="0.25">
      <c r="R96" s="25">
        <v>94</v>
      </c>
      <c r="S96" s="10">
        <v>44265</v>
      </c>
      <c r="T96" s="10">
        <v>45342</v>
      </c>
      <c r="U96" t="s">
        <v>29</v>
      </c>
      <c r="V96" t="s">
        <v>26</v>
      </c>
      <c r="W96" s="46" t="str">
        <f t="shared" si="10"/>
        <v>APAC</v>
      </c>
      <c r="X96" s="26" t="s">
        <v>27</v>
      </c>
      <c r="Y96" s="1">
        <v>1370699</v>
      </c>
      <c r="Z96" s="1">
        <v>1443986</v>
      </c>
      <c r="AA96" s="1">
        <v>0</v>
      </c>
      <c r="AB96" s="46" t="str">
        <f t="shared" si="11"/>
        <v>Realized</v>
      </c>
      <c r="AC96" s="1">
        <v>1443986</v>
      </c>
      <c r="AD96" s="11">
        <v>1.0534668807666741</v>
      </c>
      <c r="AE96" s="1">
        <v>0</v>
      </c>
      <c r="AF96" s="1">
        <v>1399036</v>
      </c>
    </row>
    <row r="97" spans="18:32" x14ac:dyDescent="0.25">
      <c r="R97" s="25">
        <v>95</v>
      </c>
      <c r="S97" s="10">
        <v>43802</v>
      </c>
      <c r="T97" s="10">
        <v>45339</v>
      </c>
      <c r="U97" t="s">
        <v>33</v>
      </c>
      <c r="V97" t="s">
        <v>30</v>
      </c>
      <c r="W97" s="46" t="str">
        <f t="shared" si="10"/>
        <v>USA</v>
      </c>
      <c r="X97" s="26" t="s">
        <v>27</v>
      </c>
      <c r="Y97" s="1">
        <v>2723851</v>
      </c>
      <c r="Z97" s="1">
        <v>383649</v>
      </c>
      <c r="AA97" s="1">
        <v>0</v>
      </c>
      <c r="AB97" s="46" t="str">
        <f t="shared" si="11"/>
        <v>Realized</v>
      </c>
      <c r="AC97" s="1">
        <v>383649</v>
      </c>
      <c r="AD97" s="11">
        <v>0.14084801261155619</v>
      </c>
      <c r="AE97" s="1">
        <v>0</v>
      </c>
      <c r="AF97" s="1">
        <v>1429349</v>
      </c>
    </row>
    <row r="98" spans="18:32" x14ac:dyDescent="0.25">
      <c r="R98" s="25">
        <v>96</v>
      </c>
      <c r="S98" s="10">
        <v>44143</v>
      </c>
      <c r="T98" s="10">
        <v>44878</v>
      </c>
      <c r="U98" t="s">
        <v>20</v>
      </c>
      <c r="V98" t="s">
        <v>48</v>
      </c>
      <c r="W98" s="46" t="str">
        <f t="shared" si="10"/>
        <v>Europe</v>
      </c>
      <c r="X98" s="26" t="s">
        <v>31</v>
      </c>
      <c r="Y98" s="1">
        <v>3212372</v>
      </c>
      <c r="Z98" s="1">
        <v>2338271</v>
      </c>
      <c r="AA98" s="1">
        <v>0</v>
      </c>
      <c r="AB98" s="46" t="str">
        <f t="shared" si="11"/>
        <v>Realized</v>
      </c>
      <c r="AC98" s="1">
        <v>2338271</v>
      </c>
      <c r="AD98" s="11">
        <v>0.72789546167131325</v>
      </c>
      <c r="AE98" s="1">
        <v>27932083</v>
      </c>
      <c r="AF98" s="1">
        <v>105107309</v>
      </c>
    </row>
    <row r="99" spans="18:32" x14ac:dyDescent="0.25">
      <c r="R99" s="25">
        <v>97</v>
      </c>
      <c r="S99" s="10">
        <v>43567</v>
      </c>
      <c r="T99" s="10" t="s">
        <v>24</v>
      </c>
      <c r="U99" t="s">
        <v>25</v>
      </c>
      <c r="V99" t="s">
        <v>30</v>
      </c>
      <c r="W99" s="46" t="str">
        <f t="shared" si="10"/>
        <v>USA</v>
      </c>
      <c r="X99" s="26" t="s">
        <v>34</v>
      </c>
      <c r="Y99" s="1">
        <v>4287395</v>
      </c>
      <c r="Z99" s="1">
        <v>3665653</v>
      </c>
      <c r="AA99" s="1">
        <v>2860079</v>
      </c>
      <c r="AB99" s="46" t="str">
        <f t="shared" si="11"/>
        <v>Unrealized</v>
      </c>
      <c r="AC99" s="1">
        <v>6525732</v>
      </c>
      <c r="AD99" s="11">
        <v>1.522073893354823</v>
      </c>
      <c r="AE99" s="1">
        <v>9456301</v>
      </c>
      <c r="AF99" s="1">
        <v>61863333</v>
      </c>
    </row>
    <row r="100" spans="18:32" x14ac:dyDescent="0.25">
      <c r="R100" s="25">
        <v>98</v>
      </c>
      <c r="S100" s="10">
        <v>43788</v>
      </c>
      <c r="T100" s="10" t="s">
        <v>24</v>
      </c>
      <c r="U100" t="s">
        <v>20</v>
      </c>
      <c r="V100" t="s">
        <v>30</v>
      </c>
      <c r="W100" s="46" t="str">
        <f t="shared" si="10"/>
        <v>USA</v>
      </c>
      <c r="X100" s="26" t="s">
        <v>27</v>
      </c>
      <c r="Y100" s="1">
        <v>4726825</v>
      </c>
      <c r="Z100" s="1">
        <v>3554957</v>
      </c>
      <c r="AA100" s="1">
        <v>553352</v>
      </c>
      <c r="AB100" s="46" t="str">
        <f t="shared" si="11"/>
        <v>Unrealized</v>
      </c>
      <c r="AC100" s="1">
        <v>4108309</v>
      </c>
      <c r="AD100" s="11">
        <v>0.86914768369888884</v>
      </c>
      <c r="AE100" s="1">
        <v>0</v>
      </c>
      <c r="AF100" s="1">
        <v>1818490</v>
      </c>
    </row>
    <row r="101" spans="18:32" x14ac:dyDescent="0.25">
      <c r="R101" s="25">
        <v>99</v>
      </c>
      <c r="S101" s="10">
        <v>43665</v>
      </c>
      <c r="T101" s="10">
        <v>44760</v>
      </c>
      <c r="U101" t="s">
        <v>40</v>
      </c>
      <c r="V101" t="s">
        <v>26</v>
      </c>
      <c r="W101" s="46" t="str">
        <f t="shared" si="10"/>
        <v>APAC</v>
      </c>
      <c r="X101" s="26" t="s">
        <v>27</v>
      </c>
      <c r="Y101" s="1">
        <v>3597806</v>
      </c>
      <c r="Z101" s="1">
        <v>4218460</v>
      </c>
      <c r="AA101" s="1">
        <v>0</v>
      </c>
      <c r="AB101" s="46" t="str">
        <f t="shared" si="11"/>
        <v>Realized</v>
      </c>
      <c r="AC101" s="1">
        <v>4218460</v>
      </c>
      <c r="AD101" s="11">
        <v>1.1725090235549109</v>
      </c>
      <c r="AE101" s="1">
        <v>0</v>
      </c>
      <c r="AF101" s="1">
        <v>3491808</v>
      </c>
    </row>
    <row r="102" spans="18:32" x14ac:dyDescent="0.25">
      <c r="R102" s="25">
        <v>100</v>
      </c>
      <c r="S102" s="10">
        <v>43973</v>
      </c>
      <c r="T102" s="10">
        <v>45138</v>
      </c>
      <c r="U102" t="s">
        <v>40</v>
      </c>
      <c r="V102" t="s">
        <v>30</v>
      </c>
      <c r="W102" s="46" t="str">
        <f t="shared" si="10"/>
        <v>USA</v>
      </c>
      <c r="X102" s="26" t="s">
        <v>27</v>
      </c>
      <c r="Y102" s="1">
        <v>3861525</v>
      </c>
      <c r="Z102" s="1">
        <v>1132579</v>
      </c>
      <c r="AA102" s="1">
        <v>0</v>
      </c>
      <c r="AB102" s="46" t="str">
        <f t="shared" si="11"/>
        <v>Realized</v>
      </c>
      <c r="AC102" s="1">
        <v>1132579</v>
      </c>
      <c r="AD102" s="11">
        <v>0.29329837305209733</v>
      </c>
      <c r="AE102" s="1">
        <v>0</v>
      </c>
      <c r="AF102" s="1">
        <v>3140848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R42"/>
  <sheetViews>
    <sheetView showGridLines="0" topLeftCell="A8" zoomScale="96" zoomScaleNormal="96" workbookViewId="0">
      <selection activeCell="S48" sqref="S48"/>
    </sheetView>
  </sheetViews>
  <sheetFormatPr defaultRowHeight="15" x14ac:dyDescent="0.25"/>
  <cols>
    <col min="16" max="16" width="10.7109375" bestFit="1" customWidth="1"/>
    <col min="17" max="17" width="22.5703125" bestFit="1" customWidth="1"/>
    <col min="18" max="18" width="19" bestFit="1" customWidth="1"/>
    <col min="24" max="24" width="10" customWidth="1"/>
  </cols>
  <sheetData>
    <row r="3" spans="2:18" x14ac:dyDescent="0.25">
      <c r="B3" s="2" t="s">
        <v>19</v>
      </c>
      <c r="C3" s="2"/>
      <c r="D3" s="2"/>
      <c r="E3" s="2"/>
      <c r="F3" s="2"/>
      <c r="G3" s="2"/>
      <c r="Q3" t="s">
        <v>50</v>
      </c>
      <c r="R3" t="s">
        <v>51</v>
      </c>
    </row>
    <row r="4" spans="2:18" x14ac:dyDescent="0.25">
      <c r="B4" s="3" t="s">
        <v>52</v>
      </c>
      <c r="C4" s="3"/>
      <c r="D4" s="3"/>
      <c r="E4" s="3"/>
      <c r="F4" s="3"/>
      <c r="G4" s="3"/>
      <c r="P4" s="6">
        <v>44377</v>
      </c>
      <c r="Q4" s="50">
        <v>0.16251451521163551</v>
      </c>
      <c r="R4" s="50">
        <v>1.636939999999996E-3</v>
      </c>
    </row>
    <row r="5" spans="2:18" x14ac:dyDescent="0.25">
      <c r="P5" s="6">
        <v>44408</v>
      </c>
      <c r="Q5" s="50">
        <v>0.16505562881163199</v>
      </c>
      <c r="R5" s="50">
        <v>-4.34236E-3</v>
      </c>
    </row>
    <row r="6" spans="2:18" x14ac:dyDescent="0.25">
      <c r="P6" s="6">
        <v>44439</v>
      </c>
      <c r="Q6" s="50">
        <v>0.17367861921505801</v>
      </c>
      <c r="R6" s="50">
        <v>-2.9209599999999998E-3</v>
      </c>
    </row>
    <row r="7" spans="2:18" x14ac:dyDescent="0.25">
      <c r="P7" s="6">
        <v>44469</v>
      </c>
      <c r="Q7" s="50">
        <v>0.17401449803694519</v>
      </c>
      <c r="R7" s="50">
        <v>8.4630400000000015E-3</v>
      </c>
    </row>
    <row r="8" spans="2:18" x14ac:dyDescent="0.25">
      <c r="P8" s="6">
        <v>44500</v>
      </c>
      <c r="Q8" s="50">
        <v>0.17295336253583729</v>
      </c>
      <c r="R8" s="50">
        <v>2.8070999999999652E-4</v>
      </c>
    </row>
    <row r="9" spans="2:18" x14ac:dyDescent="0.25">
      <c r="P9" s="6">
        <v>44530</v>
      </c>
      <c r="Q9" s="50">
        <v>0.17149867803947849</v>
      </c>
      <c r="R9" s="50">
        <v>4.4323000000000019E-4</v>
      </c>
    </row>
    <row r="10" spans="2:18" x14ac:dyDescent="0.25">
      <c r="P10" s="6">
        <v>44561</v>
      </c>
      <c r="Q10" s="50">
        <v>0.1729506450031911</v>
      </c>
      <c r="R10" s="50">
        <v>2.7300499999999999E-3</v>
      </c>
    </row>
    <row r="11" spans="2:18" x14ac:dyDescent="0.25">
      <c r="P11" s="6">
        <v>44592</v>
      </c>
      <c r="Q11" s="50">
        <v>0.16358102449351669</v>
      </c>
      <c r="R11" s="50">
        <v>4.0086400000000008E-3</v>
      </c>
    </row>
    <row r="12" spans="2:18" x14ac:dyDescent="0.25">
      <c r="P12" s="6">
        <v>44620</v>
      </c>
      <c r="Q12" s="50">
        <v>0.15974565725574069</v>
      </c>
      <c r="R12" s="50">
        <v>-5.8078999999999943E-4</v>
      </c>
    </row>
    <row r="13" spans="2:18" x14ac:dyDescent="0.25">
      <c r="P13" s="6">
        <v>44651</v>
      </c>
      <c r="Q13" s="50">
        <v>0.16212671373691581</v>
      </c>
      <c r="R13" s="50">
        <v>1.082260000000002E-3</v>
      </c>
    </row>
    <row r="14" spans="2:18" x14ac:dyDescent="0.25">
      <c r="P14" s="6">
        <v>44681</v>
      </c>
      <c r="Q14" s="50">
        <v>0.15417834371434061</v>
      </c>
      <c r="R14" s="50">
        <v>5.0202500000000004E-3</v>
      </c>
    </row>
    <row r="15" spans="2:18" x14ac:dyDescent="0.25">
      <c r="P15" s="6">
        <v>44712</v>
      </c>
      <c r="Q15" s="50">
        <v>0.23361646601677269</v>
      </c>
      <c r="R15" s="50">
        <v>-2.2166899999999999E-3</v>
      </c>
    </row>
    <row r="16" spans="2:18" x14ac:dyDescent="0.25">
      <c r="P16" s="6">
        <v>44742</v>
      </c>
      <c r="Q16" s="50">
        <v>0.22042664656333849</v>
      </c>
      <c r="R16" s="50">
        <v>5.899210000000002E-3</v>
      </c>
    </row>
    <row r="17" spans="16:18" x14ac:dyDescent="0.25">
      <c r="P17" s="6">
        <v>44773</v>
      </c>
      <c r="Q17" s="50">
        <v>0.22268921757849289</v>
      </c>
      <c r="R17" s="50">
        <v>5.1444900000000024E-3</v>
      </c>
    </row>
    <row r="18" spans="16:18" x14ac:dyDescent="0.25">
      <c r="P18" s="6">
        <v>44804</v>
      </c>
      <c r="Q18" s="50">
        <v>0.2190758781350084</v>
      </c>
      <c r="R18" s="50">
        <v>4.6213499999999998E-3</v>
      </c>
    </row>
    <row r="19" spans="16:18" x14ac:dyDescent="0.25">
      <c r="P19" s="6">
        <v>44834</v>
      </c>
      <c r="Q19" s="50">
        <v>0.21123546876666749</v>
      </c>
      <c r="R19" s="50">
        <v>1.3968E-2</v>
      </c>
    </row>
    <row r="20" spans="16:18" x14ac:dyDescent="0.25">
      <c r="P20" s="6">
        <v>44865</v>
      </c>
      <c r="Q20" s="50">
        <v>0.18276077214286121</v>
      </c>
      <c r="R20" s="50">
        <v>-9.9806600000000006E-3</v>
      </c>
    </row>
    <row r="21" spans="16:18" x14ac:dyDescent="0.25">
      <c r="P21" s="6">
        <v>44895</v>
      </c>
      <c r="Q21" s="50">
        <v>0.1733521669461851</v>
      </c>
      <c r="R21" s="50">
        <v>2.29802E-3</v>
      </c>
    </row>
    <row r="22" spans="16:18" x14ac:dyDescent="0.25">
      <c r="P22" s="6">
        <v>44926</v>
      </c>
      <c r="Q22" s="50">
        <v>0.18951083580742831</v>
      </c>
      <c r="R22" s="50">
        <v>-5.7357600000000003E-3</v>
      </c>
    </row>
    <row r="23" spans="16:18" x14ac:dyDescent="0.25">
      <c r="P23" s="6">
        <v>44957</v>
      </c>
      <c r="Q23" s="50">
        <v>0.19154884295558999</v>
      </c>
      <c r="R23" s="50">
        <v>-2.88025E-3</v>
      </c>
    </row>
    <row r="24" spans="16:18" x14ac:dyDescent="0.25">
      <c r="P24" s="6">
        <v>44985</v>
      </c>
      <c r="Q24" s="50">
        <v>0.19548344042312599</v>
      </c>
      <c r="R24" s="50">
        <v>-6.1782400000000024E-3</v>
      </c>
    </row>
    <row r="25" spans="16:18" x14ac:dyDescent="0.25">
      <c r="P25" s="6">
        <v>45016</v>
      </c>
      <c r="Q25" s="50">
        <v>0.19526071860723729</v>
      </c>
      <c r="R25" s="50">
        <v>6.356839999999999E-3</v>
      </c>
    </row>
    <row r="26" spans="16:18" x14ac:dyDescent="0.25">
      <c r="P26" s="6">
        <v>45046</v>
      </c>
      <c r="Q26" s="50">
        <v>0.1934846012129206</v>
      </c>
      <c r="R26" s="50">
        <v>1.481999999999997E-3</v>
      </c>
    </row>
    <row r="27" spans="16:18" x14ac:dyDescent="0.25">
      <c r="P27" s="6">
        <v>45077</v>
      </c>
      <c r="Q27" s="50">
        <v>0.19046211636473989</v>
      </c>
      <c r="R27" s="50">
        <v>2.8686700000000042E-3</v>
      </c>
    </row>
    <row r="28" spans="16:18" x14ac:dyDescent="0.25">
      <c r="P28" s="6">
        <v>45107</v>
      </c>
      <c r="Q28" s="50">
        <v>0.19739618155033251</v>
      </c>
      <c r="R28" s="50">
        <v>-1.5509800000000069E-3</v>
      </c>
    </row>
    <row r="29" spans="16:18" x14ac:dyDescent="0.25">
      <c r="P29" s="6">
        <v>45138</v>
      </c>
      <c r="Q29" s="50">
        <v>0.17270014273929241</v>
      </c>
      <c r="R29" s="50">
        <v>-1.5767400000000001E-3</v>
      </c>
    </row>
    <row r="30" spans="16:18" x14ac:dyDescent="0.25">
      <c r="P30" s="6">
        <v>45169</v>
      </c>
      <c r="Q30" s="50">
        <v>0.19920791100679741</v>
      </c>
      <c r="R30" s="50">
        <v>2.1056000000000029E-4</v>
      </c>
    </row>
    <row r="31" spans="16:18" x14ac:dyDescent="0.25">
      <c r="P31" s="6">
        <v>45199</v>
      </c>
      <c r="Q31" s="50">
        <v>0.19113811070731729</v>
      </c>
      <c r="R31" s="50">
        <v>9.9143499999999989E-3</v>
      </c>
    </row>
    <row r="32" spans="16:18" x14ac:dyDescent="0.25">
      <c r="P32" s="6">
        <v>45230</v>
      </c>
      <c r="Q32" s="50">
        <v>0.18260975358220499</v>
      </c>
      <c r="R32" s="50">
        <v>5.7711099999999986E-3</v>
      </c>
    </row>
    <row r="33" spans="16:18" x14ac:dyDescent="0.25">
      <c r="P33" s="6">
        <v>45260</v>
      </c>
      <c r="Q33" s="50">
        <v>0.17792198655175459</v>
      </c>
      <c r="R33" s="50">
        <v>-1.323959999999999E-3</v>
      </c>
    </row>
    <row r="34" spans="16:18" x14ac:dyDescent="0.25">
      <c r="P34" s="6">
        <v>45291</v>
      </c>
      <c r="Q34" s="50">
        <v>0.17926395146222451</v>
      </c>
      <c r="R34" s="50">
        <v>-1.0829900000000009E-3</v>
      </c>
    </row>
    <row r="35" spans="16:18" x14ac:dyDescent="0.25">
      <c r="P35" s="6">
        <v>45322</v>
      </c>
      <c r="Q35" s="50">
        <v>0.18724037117144779</v>
      </c>
      <c r="R35" s="50">
        <v>1.4725800000000009E-3</v>
      </c>
    </row>
    <row r="36" spans="16:18" x14ac:dyDescent="0.25">
      <c r="P36" s="6">
        <v>45351</v>
      </c>
      <c r="Q36" s="50">
        <v>0.2234852444771841</v>
      </c>
      <c r="R36" s="50">
        <v>1.18145E-2</v>
      </c>
    </row>
    <row r="37" spans="16:18" x14ac:dyDescent="0.25">
      <c r="P37" s="6">
        <v>45382</v>
      </c>
      <c r="Q37" s="50">
        <v>0.2108748592607548</v>
      </c>
      <c r="R37" s="50">
        <v>3.290929999999997E-3</v>
      </c>
    </row>
    <row r="38" spans="16:18" x14ac:dyDescent="0.25">
      <c r="P38" s="6">
        <v>45412</v>
      </c>
      <c r="Q38" s="50">
        <v>0.1317074271936953</v>
      </c>
      <c r="R38" s="50">
        <v>-3.00126E-3</v>
      </c>
    </row>
    <row r="39" spans="16:18" x14ac:dyDescent="0.25">
      <c r="P39" s="6">
        <v>45443</v>
      </c>
      <c r="Q39" s="50">
        <v>0.1386696228491654</v>
      </c>
      <c r="R39" s="50">
        <v>-2.38601E-3</v>
      </c>
    </row>
    <row r="40" spans="16:18" x14ac:dyDescent="0.25">
      <c r="P40" s="6">
        <v>45473</v>
      </c>
      <c r="Q40" s="50">
        <v>0.142261514314759</v>
      </c>
      <c r="R40" s="50">
        <v>-4.6576199999999977E-3</v>
      </c>
    </row>
    <row r="41" spans="16:18" x14ac:dyDescent="0.25">
      <c r="P41" s="6">
        <v>45504</v>
      </c>
      <c r="Q41" s="50">
        <v>0.14706159422798351</v>
      </c>
      <c r="R41" s="50">
        <v>-1.020458E-2</v>
      </c>
    </row>
    <row r="42" spans="16:18" x14ac:dyDescent="0.25">
      <c r="P42" s="6">
        <v>45534</v>
      </c>
      <c r="Q42" s="50">
        <v>0.1523394631184451</v>
      </c>
      <c r="R42" s="50">
        <v>-5.2549000000000172E-4</v>
      </c>
    </row>
  </sheetData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U27"/>
  <sheetViews>
    <sheetView showGridLines="0" zoomScaleNormal="100" workbookViewId="0">
      <selection activeCell="P27" sqref="P27"/>
    </sheetView>
  </sheetViews>
  <sheetFormatPr defaultRowHeight="15" x14ac:dyDescent="0.25"/>
  <cols>
    <col min="2" max="2" width="22.7109375" bestFit="1" customWidth="1"/>
    <col min="3" max="3" width="10.7109375" bestFit="1" customWidth="1"/>
    <col min="4" max="4" width="12.42578125" bestFit="1" customWidth="1"/>
    <col min="8" max="8" width="22.7109375" bestFit="1" customWidth="1"/>
    <col min="9" max="9" width="10.7109375" bestFit="1" customWidth="1"/>
    <col min="10" max="10" width="13.5703125" bestFit="1" customWidth="1"/>
    <col min="11" max="13" width="14.28515625" bestFit="1" customWidth="1"/>
    <col min="14" max="21" width="9.140625" customWidth="1"/>
  </cols>
  <sheetData>
    <row r="2" spans="2:21" x14ac:dyDescent="0.25">
      <c r="B2" s="27" t="s">
        <v>19</v>
      </c>
      <c r="C2" s="27"/>
      <c r="D2" s="27"/>
      <c r="E2" s="27"/>
      <c r="F2" s="27"/>
      <c r="G2" s="27"/>
      <c r="H2" s="27"/>
      <c r="I2" s="27"/>
      <c r="J2" s="27"/>
    </row>
    <row r="3" spans="2:21" x14ac:dyDescent="0.25">
      <c r="B3" s="3" t="s">
        <v>53</v>
      </c>
      <c r="C3" s="3"/>
      <c r="D3" s="3"/>
      <c r="E3" s="3"/>
      <c r="F3" s="3"/>
      <c r="G3" s="3"/>
      <c r="H3" s="3"/>
      <c r="I3" s="3"/>
      <c r="J3" s="3"/>
    </row>
    <row r="4" spans="2:21" x14ac:dyDescent="0.25">
      <c r="B4" s="3" t="s">
        <v>54</v>
      </c>
      <c r="C4" s="3"/>
      <c r="D4" s="3"/>
      <c r="E4" s="3"/>
      <c r="F4" s="3"/>
      <c r="G4" s="3"/>
      <c r="H4" s="3"/>
      <c r="I4" s="3"/>
      <c r="J4" s="3"/>
    </row>
    <row r="5" spans="2:21" x14ac:dyDescent="0.25">
      <c r="B5" s="3" t="s">
        <v>55</v>
      </c>
      <c r="C5" s="3"/>
      <c r="D5" s="3"/>
      <c r="E5" s="3"/>
      <c r="F5" s="3"/>
      <c r="G5" s="3"/>
      <c r="H5" s="3"/>
      <c r="I5" s="3"/>
      <c r="J5" s="3"/>
    </row>
    <row r="6" spans="2:21" x14ac:dyDescent="0.25">
      <c r="B6" s="3" t="s">
        <v>56</v>
      </c>
      <c r="C6" s="3"/>
      <c r="D6" s="3"/>
      <c r="E6" s="3"/>
      <c r="F6" s="3"/>
      <c r="G6" s="3"/>
      <c r="H6" s="3"/>
      <c r="I6" s="3"/>
      <c r="J6" s="3"/>
    </row>
    <row r="9" spans="2:21" x14ac:dyDescent="0.25">
      <c r="B9" t="s">
        <v>57</v>
      </c>
      <c r="H9" t="s">
        <v>58</v>
      </c>
    </row>
    <row r="10" spans="2:21" x14ac:dyDescent="0.25">
      <c r="B10" s="37" t="s">
        <v>59</v>
      </c>
      <c r="C10" s="38"/>
      <c r="D10" s="38"/>
      <c r="H10" s="39" t="s">
        <v>60</v>
      </c>
      <c r="I10" s="40"/>
      <c r="J10" s="40"/>
      <c r="K10" s="54" t="s">
        <v>73</v>
      </c>
      <c r="L10" s="54"/>
      <c r="M10" s="54"/>
    </row>
    <row r="11" spans="2:21" x14ac:dyDescent="0.25">
      <c r="B11" s="24" t="s">
        <v>61</v>
      </c>
      <c r="C11" s="24" t="s">
        <v>62</v>
      </c>
      <c r="D11" s="24" t="s">
        <v>63</v>
      </c>
      <c r="H11" s="24" t="s">
        <v>61</v>
      </c>
      <c r="I11" s="24" t="s">
        <v>62</v>
      </c>
      <c r="J11" s="24" t="s">
        <v>63</v>
      </c>
      <c r="K11" s="24" t="s">
        <v>70</v>
      </c>
      <c r="L11" s="24" t="s">
        <v>71</v>
      </c>
      <c r="M11" s="24" t="s">
        <v>72</v>
      </c>
    </row>
    <row r="12" spans="2:21" x14ac:dyDescent="0.25">
      <c r="B12" t="s">
        <v>64</v>
      </c>
      <c r="C12" s="6">
        <v>41999</v>
      </c>
      <c r="D12" s="1">
        <v>-25000000</v>
      </c>
      <c r="H12" t="s">
        <v>64</v>
      </c>
      <c r="I12" s="6">
        <v>41186</v>
      </c>
      <c r="J12" s="1">
        <v>-100000000</v>
      </c>
      <c r="K12" s="1">
        <v>-100000000</v>
      </c>
      <c r="L12" s="1">
        <v>-100000000</v>
      </c>
      <c r="M12" s="1">
        <v>-100000000</v>
      </c>
      <c r="N12" s="6"/>
    </row>
    <row r="13" spans="2:21" x14ac:dyDescent="0.25">
      <c r="B13" t="s">
        <v>64</v>
      </c>
      <c r="C13" s="6">
        <v>42226</v>
      </c>
      <c r="D13" s="1">
        <v>-25000000</v>
      </c>
      <c r="H13" t="s">
        <v>64</v>
      </c>
      <c r="I13" s="6">
        <v>41439</v>
      </c>
      <c r="J13" s="1">
        <v>-150000000</v>
      </c>
      <c r="K13" s="1">
        <v>-150000000</v>
      </c>
      <c r="L13" s="1">
        <v>-150000000</v>
      </c>
      <c r="M13" s="1">
        <v>-150000000</v>
      </c>
      <c r="N13" s="6"/>
      <c r="O13" s="6"/>
      <c r="P13" s="6"/>
      <c r="Q13" s="6"/>
      <c r="R13" s="6"/>
      <c r="S13" s="6"/>
      <c r="T13" s="6"/>
      <c r="U13" s="6"/>
    </row>
    <row r="14" spans="2:21" x14ac:dyDescent="0.25">
      <c r="B14" t="s">
        <v>64</v>
      </c>
      <c r="C14" s="6">
        <v>42536</v>
      </c>
      <c r="D14" s="1">
        <v>-25000000</v>
      </c>
      <c r="H14" t="s">
        <v>64</v>
      </c>
      <c r="I14" s="6">
        <v>41930</v>
      </c>
      <c r="J14" s="1">
        <v>-50000000</v>
      </c>
      <c r="K14" s="1">
        <v>-50000000</v>
      </c>
      <c r="L14" s="1">
        <v>-50000000</v>
      </c>
      <c r="M14" s="1">
        <v>-50000000</v>
      </c>
      <c r="N14" s="6"/>
      <c r="P14" s="6"/>
      <c r="Q14" s="6"/>
      <c r="R14" s="6"/>
      <c r="S14" s="6"/>
      <c r="T14" s="6"/>
      <c r="U14" s="6"/>
    </row>
    <row r="15" spans="2:21" x14ac:dyDescent="0.25">
      <c r="B15" t="s">
        <v>64</v>
      </c>
      <c r="C15" s="6">
        <v>43066</v>
      </c>
      <c r="D15" s="1">
        <v>-25000000</v>
      </c>
      <c r="H15" t="s">
        <v>64</v>
      </c>
      <c r="I15" s="6">
        <v>42360</v>
      </c>
      <c r="J15" s="1">
        <v>-250000000</v>
      </c>
      <c r="K15" s="1">
        <v>-250000000</v>
      </c>
      <c r="L15" s="1">
        <v>-250000000</v>
      </c>
      <c r="M15" s="1">
        <v>-250000000</v>
      </c>
      <c r="N15" s="6"/>
    </row>
    <row r="16" spans="2:21" x14ac:dyDescent="0.25">
      <c r="B16" t="s">
        <v>65</v>
      </c>
      <c r="C16" s="6">
        <v>43669</v>
      </c>
      <c r="D16" s="1">
        <v>50000000</v>
      </c>
      <c r="H16" t="s">
        <v>64</v>
      </c>
      <c r="I16" s="6">
        <v>42418</v>
      </c>
      <c r="J16" s="1">
        <v>-200000000</v>
      </c>
      <c r="K16" s="1">
        <v>-200000000</v>
      </c>
      <c r="L16" s="1">
        <v>-200000000</v>
      </c>
      <c r="M16" s="1">
        <v>-200000000</v>
      </c>
      <c r="N16" s="6"/>
    </row>
    <row r="17" spans="2:14" x14ac:dyDescent="0.25">
      <c r="B17" t="s">
        <v>65</v>
      </c>
      <c r="C17" s="6">
        <v>44357</v>
      </c>
      <c r="D17" s="1">
        <v>50000000</v>
      </c>
      <c r="H17" t="s">
        <v>65</v>
      </c>
      <c r="I17" s="6">
        <v>42777</v>
      </c>
      <c r="J17" s="1">
        <v>200000000</v>
      </c>
      <c r="K17" s="1">
        <v>200000000</v>
      </c>
      <c r="L17" s="1">
        <v>200000000</v>
      </c>
      <c r="M17" s="1">
        <v>200000000</v>
      </c>
      <c r="N17" s="6"/>
    </row>
    <row r="18" spans="2:14" x14ac:dyDescent="0.25">
      <c r="B18" t="s">
        <v>65</v>
      </c>
      <c r="C18" s="6">
        <v>45190</v>
      </c>
      <c r="D18" s="1">
        <v>50000000</v>
      </c>
      <c r="H18" t="s">
        <v>65</v>
      </c>
      <c r="I18" s="6">
        <v>43329</v>
      </c>
      <c r="J18" s="1">
        <v>200000000</v>
      </c>
      <c r="K18" s="1">
        <v>200000000</v>
      </c>
      <c r="L18" s="1">
        <v>200000000</v>
      </c>
      <c r="M18" s="1">
        <v>200000000</v>
      </c>
      <c r="N18" s="6"/>
    </row>
    <row r="19" spans="2:14" x14ac:dyDescent="0.25">
      <c r="B19" t="s">
        <v>65</v>
      </c>
      <c r="C19" s="6">
        <v>45420</v>
      </c>
      <c r="D19" s="1">
        <v>50000000</v>
      </c>
      <c r="H19" t="s">
        <v>65</v>
      </c>
      <c r="I19" s="6">
        <v>43794</v>
      </c>
      <c r="J19" s="1">
        <v>200000000</v>
      </c>
      <c r="K19" s="1">
        <v>200000000</v>
      </c>
      <c r="L19" s="1">
        <v>200000000</v>
      </c>
      <c r="M19" s="1">
        <v>200000000</v>
      </c>
      <c r="N19" s="6"/>
    </row>
    <row r="20" spans="2:14" x14ac:dyDescent="0.25">
      <c r="B20" s="24" t="s">
        <v>66</v>
      </c>
      <c r="C20" s="41">
        <v>45473</v>
      </c>
      <c r="D20" s="42">
        <v>0</v>
      </c>
      <c r="H20" t="s">
        <v>65</v>
      </c>
      <c r="I20" s="6">
        <v>44499</v>
      </c>
      <c r="J20" s="1">
        <v>200000000</v>
      </c>
      <c r="K20" s="1">
        <v>200000000</v>
      </c>
      <c r="L20" s="1">
        <v>200000000</v>
      </c>
      <c r="M20" s="1">
        <v>200000000</v>
      </c>
      <c r="N20" s="6"/>
    </row>
    <row r="21" spans="2:14" x14ac:dyDescent="0.25">
      <c r="H21" t="s">
        <v>65</v>
      </c>
      <c r="I21" s="6">
        <v>44851</v>
      </c>
      <c r="J21" s="1">
        <v>200000000</v>
      </c>
      <c r="K21" s="1">
        <v>200000000</v>
      </c>
      <c r="L21" s="1">
        <v>200000000</v>
      </c>
      <c r="M21" s="1">
        <v>200000000</v>
      </c>
      <c r="N21" s="6"/>
    </row>
    <row r="22" spans="2:14" x14ac:dyDescent="0.25">
      <c r="C22" s="43" t="s">
        <v>67</v>
      </c>
      <c r="D22" s="7">
        <v>0.1249796569347381</v>
      </c>
      <c r="H22" s="24" t="s">
        <v>66</v>
      </c>
      <c r="I22" s="41">
        <v>45473</v>
      </c>
      <c r="J22" s="42">
        <v>750000000</v>
      </c>
      <c r="K22" s="52">
        <f>J22*0.9</f>
        <v>675000000</v>
      </c>
      <c r="L22" s="52">
        <f>J22*0.8</f>
        <v>600000000</v>
      </c>
      <c r="M22" s="52">
        <f>J22*0.7</f>
        <v>524999999.99999994</v>
      </c>
      <c r="N22" s="6"/>
    </row>
    <row r="23" spans="2:14" x14ac:dyDescent="0.25">
      <c r="C23" s="44" t="s">
        <v>68</v>
      </c>
      <c r="D23" s="8">
        <v>2</v>
      </c>
      <c r="J23" s="55"/>
      <c r="M23" s="6"/>
      <c r="N23" s="6"/>
    </row>
    <row r="24" spans="2:14" x14ac:dyDescent="0.25">
      <c r="C24" s="45" t="s">
        <v>69</v>
      </c>
      <c r="D24" s="9">
        <v>2</v>
      </c>
      <c r="I24" s="43" t="s">
        <v>67</v>
      </c>
      <c r="J24" s="7">
        <v>0.13731405138969421</v>
      </c>
      <c r="K24" s="53">
        <f>XIRR(K12:K22,I12:I22)</f>
        <v>0.13184613585472105</v>
      </c>
      <c r="L24" s="53">
        <f>XIRR(L12:L22,I12:I22)</f>
        <v>0.12606018185615539</v>
      </c>
      <c r="M24" s="53">
        <f>XIRR(M12:M22,I12:I22)</f>
        <v>0.11991235613822934</v>
      </c>
    </row>
    <row r="25" spans="2:14" x14ac:dyDescent="0.25">
      <c r="I25" s="44" t="s">
        <v>68</v>
      </c>
      <c r="J25" s="8">
        <v>2.333333333333333</v>
      </c>
    </row>
    <row r="26" spans="2:14" x14ac:dyDescent="0.25">
      <c r="I26" s="45" t="s">
        <v>69</v>
      </c>
      <c r="J26" s="9">
        <v>1.333333333333333</v>
      </c>
      <c r="K26" s="57">
        <f>SUM(K17:K22)/-SUM(K12:K16)</f>
        <v>2.2333333333333334</v>
      </c>
      <c r="L26" s="57">
        <f>SUM(L17:L22)/-SUM(L12:L16)</f>
        <v>2.1333333333333333</v>
      </c>
      <c r="M26" s="57">
        <f>SUM(M17:M22)/-SUM(M12:M16)</f>
        <v>2.0333333333333332</v>
      </c>
    </row>
    <row r="27" spans="2:14" x14ac:dyDescent="0.25">
      <c r="J27" s="56"/>
    </row>
  </sheetData>
  <mergeCells count="1">
    <mergeCell ref="K10:M1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Formulas</vt:lpstr>
      <vt:lpstr>Graph</vt:lpstr>
      <vt:lpstr>Fund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Sabrio, Jeremy (WM, USA)</dc:creator>
  <cp:lastModifiedBy>Stephanie Price-Cummings</cp:lastModifiedBy>
  <dcterms:created xsi:type="dcterms:W3CDTF">2024-09-17T23:59:30Z</dcterms:created>
  <dcterms:modified xsi:type="dcterms:W3CDTF">2025-09-01T21:36:01Z</dcterms:modified>
</cp:coreProperties>
</file>