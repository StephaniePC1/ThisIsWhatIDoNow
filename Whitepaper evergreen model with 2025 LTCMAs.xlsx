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rinterSettings/printerSettings1.bin" ContentType="application/vnd.openxmlformats-officedocument.spreadsheetml.printerSettings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printerSettings/printerSettings2.bin" ContentType="application/vnd.openxmlformats-officedocument.spreadsheetml.printerSettings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printerSettings/printerSettings3.bin" ContentType="application/vnd.openxmlformats-officedocument.spreadsheetml.printerSettings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ml.chartshapes+xml"/>
  <Override PartName="/xl/printerSettings/printerSettings4.bin" ContentType="application/vnd.openxmlformats-officedocument.spreadsheetml.printerSettings"/>
  <Override PartName="/xl/drawings/drawing12.xml" ContentType="application/vnd.openxmlformats-officedocument.drawing+xml"/>
  <Override PartName="/xl/comments4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ml.chartshapes+xml"/>
  <Override PartName="/xl/printerSettings/printerSettings5.bin" ContentType="application/vnd.openxmlformats-officedocument.spreadsheetml.printerSettings"/>
  <Override PartName="/xl/drawings/drawing15.xml" ContentType="application/vnd.openxmlformats-officedocument.drawing+xml"/>
  <Override PartName="/xl/printerSettings/printerSettings6.bin" ContentType="application/vnd.openxmlformats-officedocument.spreadsheetml.printerSettings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rive.jpmchase.com/personal/e940690_emea_ad_jpmorganchase_com/Documents/Personal/Evergreen analysis/"/>
    </mc:Choice>
  </mc:AlternateContent>
  <xr:revisionPtr revIDLastSave="0" documentId="8_{F2B865E1-5E02-448B-84EF-B3EFD1DFEBB4}" xr6:coauthVersionLast="47" xr6:coauthVersionMax="47" xr10:uidLastSave="{00000000-0000-0000-0000-000000000000}"/>
  <bookViews>
    <workbookView xWindow="28680" yWindow="-120" windowWidth="29040" windowHeight="15720" activeTab="2" xr2:uid="{AC524EEA-4FDB-44F0-A34F-72C91C3526AE}"/>
  </bookViews>
  <sheets>
    <sheet name="Analysis" sheetId="28" r:id="rId1"/>
    <sheet name="Drawdown only" sheetId="5" r:id="rId2"/>
    <sheet name="Evergreen only" sheetId="27" r:id="rId3"/>
    <sheet name="Drawdown+reinvestment" sheetId="29" r:id="rId4"/>
    <sheet name="Drawdown+Evergreen from start" sheetId="30" r:id="rId5"/>
    <sheet name="LTCMAs" sheetId="26" r:id="rId6"/>
    <sheet name="Aggregated Median CA data" sheetId="6" r:id="rId7"/>
    <sheet name="Global Buyout" sheetId="15" state="hidden" r:id="rId8"/>
    <sheet name="Global Growth Equity" sheetId="16" state="hidden" r:id="rId9"/>
    <sheet name="Global Venture Capital" sheetId="17" state="hidden" r:id="rId10"/>
    <sheet name="Global Fund of Funds" sheetId="18" state="hidden" r:id="rId11"/>
    <sheet name="Global Secondary Funds" sheetId="19" state="hidden" r:id="rId12"/>
    <sheet name="Global Private Credit" sheetId="20" state="hidden" r:id="rId13"/>
    <sheet name="Global Real Estate" sheetId="21" state="hidden" r:id="rId14"/>
    <sheet name="mapping" sheetId="14" state="hidden" r:id="rId15"/>
    <sheet name="NAV" sheetId="22" state="hidden" r:id="rId16"/>
    <sheet name="Paid in" sheetId="23" state="hidden" r:id="rId17"/>
    <sheet name="Distributed" sheetId="24" state="hidden" r:id="rId18"/>
    <sheet name="Exported Data" sheetId="25" state="hidden" r:id="rId19"/>
  </sheets>
  <definedNames>
    <definedName name="_xlnm._FilterDatabase" localSheetId="17" hidden="1">Distributed!$A$3:$U$25</definedName>
    <definedName name="_xlnm._FilterDatabase" localSheetId="18" hidden="1">'Exported Data'!$C$2:$AX$24</definedName>
    <definedName name="_xlnm._FilterDatabase" localSheetId="15" hidden="1">NAV!$A$3:$U$25</definedName>
    <definedName name="_xlnm._FilterDatabase" localSheetId="16" hidden="1">'Paid in'!$A$3:$U$25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0" l="1"/>
  <c r="I4" i="27"/>
  <c r="K11" i="2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Y144" i="6"/>
  <c r="R211" i="29" l="1"/>
  <c r="A176" i="30"/>
  <c r="D175" i="30"/>
  <c r="A152" i="30"/>
  <c r="D151" i="30"/>
  <c r="B142" i="30"/>
  <c r="B166" i="30" s="1"/>
  <c r="B190" i="30" s="1"/>
  <c r="B141" i="30"/>
  <c r="B165" i="30" s="1"/>
  <c r="B189" i="30" s="1"/>
  <c r="B140" i="30"/>
  <c r="B164" i="30" s="1"/>
  <c r="B188" i="30" s="1"/>
  <c r="B139" i="30"/>
  <c r="B163" i="30" s="1"/>
  <c r="B187" i="30" s="1"/>
  <c r="B138" i="30"/>
  <c r="B162" i="30" s="1"/>
  <c r="B186" i="30" s="1"/>
  <c r="B137" i="30"/>
  <c r="B161" i="30" s="1"/>
  <c r="B185" i="30" s="1"/>
  <c r="B136" i="30"/>
  <c r="B160" i="30" s="1"/>
  <c r="B184" i="30" s="1"/>
  <c r="B135" i="30"/>
  <c r="B159" i="30" s="1"/>
  <c r="B183" i="30" s="1"/>
  <c r="B134" i="30"/>
  <c r="B158" i="30" s="1"/>
  <c r="B182" i="30" s="1"/>
  <c r="B133" i="30"/>
  <c r="B157" i="30" s="1"/>
  <c r="B181" i="30" s="1"/>
  <c r="B132" i="30"/>
  <c r="B156" i="30" s="1"/>
  <c r="B180" i="30" s="1"/>
  <c r="B131" i="30"/>
  <c r="B155" i="30" s="1"/>
  <c r="B179" i="30" s="1"/>
  <c r="B130" i="30"/>
  <c r="B154" i="30" s="1"/>
  <c r="B178" i="30" s="1"/>
  <c r="B129" i="30"/>
  <c r="B153" i="30" s="1"/>
  <c r="B177" i="30" s="1"/>
  <c r="B128" i="30"/>
  <c r="B152" i="30" s="1"/>
  <c r="A128" i="30"/>
  <c r="D127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D121" i="30"/>
  <c r="D123" i="30" s="1"/>
  <c r="D211" i="30" s="1"/>
  <c r="A102" i="30"/>
  <c r="E100" i="30"/>
  <c r="E92" i="30" s="1"/>
  <c r="Q94" i="30"/>
  <c r="N94" i="30"/>
  <c r="M94" i="30"/>
  <c r="K94" i="30"/>
  <c r="J94" i="30"/>
  <c r="H94" i="30"/>
  <c r="F94" i="30"/>
  <c r="B94" i="30"/>
  <c r="D92" i="30"/>
  <c r="B89" i="30"/>
  <c r="D87" i="30"/>
  <c r="R84" i="30"/>
  <c r="R94" i="30" s="1"/>
  <c r="Q84" i="30"/>
  <c r="P84" i="30"/>
  <c r="P94" i="30" s="1"/>
  <c r="O84" i="30"/>
  <c r="O94" i="30" s="1"/>
  <c r="N84" i="30"/>
  <c r="M84" i="30"/>
  <c r="L84" i="30"/>
  <c r="L94" i="30" s="1"/>
  <c r="K84" i="30"/>
  <c r="J84" i="30"/>
  <c r="I84" i="30"/>
  <c r="I94" i="30" s="1"/>
  <c r="H84" i="30"/>
  <c r="G84" i="30"/>
  <c r="G94" i="30" s="1"/>
  <c r="F84" i="30"/>
  <c r="E84" i="30"/>
  <c r="E94" i="30" s="1"/>
  <c r="D84" i="30"/>
  <c r="D94" i="30" s="1"/>
  <c r="B84" i="30"/>
  <c r="D82" i="30"/>
  <c r="D78" i="30"/>
  <c r="E78" i="30" s="1"/>
  <c r="F78" i="30" s="1"/>
  <c r="G78" i="30" s="1"/>
  <c r="H78" i="30" s="1"/>
  <c r="I78" i="30" s="1"/>
  <c r="J78" i="30" s="1"/>
  <c r="K78" i="30" s="1"/>
  <c r="L78" i="30" s="1"/>
  <c r="M78" i="30" s="1"/>
  <c r="N78" i="30" s="1"/>
  <c r="O78" i="30" s="1"/>
  <c r="P78" i="30" s="1"/>
  <c r="Q78" i="30" s="1"/>
  <c r="R78" i="30" s="1"/>
  <c r="B78" i="30"/>
  <c r="E76" i="30"/>
  <c r="F76" i="30" s="1"/>
  <c r="G76" i="30" s="1"/>
  <c r="H76" i="30" s="1"/>
  <c r="I76" i="30" s="1"/>
  <c r="J76" i="30" s="1"/>
  <c r="K76" i="30" s="1"/>
  <c r="L76" i="30" s="1"/>
  <c r="M76" i="30" s="1"/>
  <c r="N76" i="30" s="1"/>
  <c r="O76" i="30" s="1"/>
  <c r="P76" i="30" s="1"/>
  <c r="Q76" i="30" s="1"/>
  <c r="R76" i="30" s="1"/>
  <c r="B70" i="30"/>
  <c r="E68" i="30"/>
  <c r="D68" i="30"/>
  <c r="R65" i="30"/>
  <c r="Q65" i="30"/>
  <c r="P65" i="30"/>
  <c r="O65" i="30"/>
  <c r="O70" i="30" s="1"/>
  <c r="N65" i="30"/>
  <c r="N70" i="30" s="1"/>
  <c r="M65" i="30"/>
  <c r="L65" i="30"/>
  <c r="K65" i="30"/>
  <c r="K70" i="30" s="1"/>
  <c r="J65" i="30"/>
  <c r="I65" i="30"/>
  <c r="I70" i="30" s="1"/>
  <c r="H65" i="30"/>
  <c r="H70" i="30" s="1"/>
  <c r="G65" i="30"/>
  <c r="F65" i="30"/>
  <c r="E65" i="30"/>
  <c r="E70" i="30" s="1"/>
  <c r="D65" i="30"/>
  <c r="D70" i="30" s="1"/>
  <c r="D73" i="30" s="1"/>
  <c r="B65" i="30"/>
  <c r="D63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B60" i="30"/>
  <c r="E58" i="30"/>
  <c r="D58" i="30"/>
  <c r="B54" i="30"/>
  <c r="F52" i="30"/>
  <c r="G52" i="30" s="1"/>
  <c r="H52" i="30" s="1"/>
  <c r="I52" i="30" s="1"/>
  <c r="J52" i="30" s="1"/>
  <c r="K52" i="30" s="1"/>
  <c r="L52" i="30" s="1"/>
  <c r="M52" i="30" s="1"/>
  <c r="N52" i="30" s="1"/>
  <c r="O52" i="30" s="1"/>
  <c r="P52" i="30" s="1"/>
  <c r="Q52" i="30" s="1"/>
  <c r="R52" i="30" s="1"/>
  <c r="E52" i="30"/>
  <c r="F49" i="30"/>
  <c r="G49" i="30" s="1"/>
  <c r="H49" i="30" s="1"/>
  <c r="I49" i="30" s="1"/>
  <c r="J49" i="30" s="1"/>
  <c r="K49" i="30" s="1"/>
  <c r="L49" i="30" s="1"/>
  <c r="M49" i="30" s="1"/>
  <c r="N49" i="30" s="1"/>
  <c r="O49" i="30" s="1"/>
  <c r="P49" i="30" s="1"/>
  <c r="Q49" i="30" s="1"/>
  <c r="R49" i="30" s="1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D49" i="30" s="1"/>
  <c r="E49" i="30" s="1"/>
  <c r="E44" i="30"/>
  <c r="D44" i="30"/>
  <c r="E39" i="30"/>
  <c r="D39" i="30"/>
  <c r="E34" i="30"/>
  <c r="D34" i="30"/>
  <c r="E28" i="30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O12" i="30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E5" i="30"/>
  <c r="E6" i="30" s="1"/>
  <c r="E7" i="30" s="1"/>
  <c r="E8" i="30" s="1"/>
  <c r="E9" i="30" s="1"/>
  <c r="E10" i="30" s="1"/>
  <c r="E11" i="30" s="1"/>
  <c r="E12" i="30" s="1"/>
  <c r="E13" i="30" s="1"/>
  <c r="E14" i="30" s="1"/>
  <c r="E15" i="30" s="1"/>
  <c r="E16" i="30" s="1"/>
  <c r="E17" i="30" s="1"/>
  <c r="E18" i="30" s="1"/>
  <c r="D5" i="30"/>
  <c r="A5" i="30"/>
  <c r="D4" i="30"/>
  <c r="C101" i="30" s="1"/>
  <c r="A176" i="29"/>
  <c r="D175" i="29"/>
  <c r="A152" i="29"/>
  <c r="D151" i="29"/>
  <c r="B142" i="29"/>
  <c r="B166" i="29" s="1"/>
  <c r="B190" i="29" s="1"/>
  <c r="B141" i="29"/>
  <c r="B165" i="29" s="1"/>
  <c r="B189" i="29" s="1"/>
  <c r="B140" i="29"/>
  <c r="B164" i="29" s="1"/>
  <c r="B188" i="29" s="1"/>
  <c r="B139" i="29"/>
  <c r="B163" i="29" s="1"/>
  <c r="B187" i="29" s="1"/>
  <c r="B138" i="29"/>
  <c r="B162" i="29" s="1"/>
  <c r="B186" i="29" s="1"/>
  <c r="B137" i="29"/>
  <c r="B161" i="29" s="1"/>
  <c r="B185" i="29" s="1"/>
  <c r="B136" i="29"/>
  <c r="B160" i="29" s="1"/>
  <c r="B184" i="29" s="1"/>
  <c r="B135" i="29"/>
  <c r="B159" i="29" s="1"/>
  <c r="B183" i="29" s="1"/>
  <c r="B134" i="29"/>
  <c r="B158" i="29" s="1"/>
  <c r="B182" i="29" s="1"/>
  <c r="B133" i="29"/>
  <c r="B157" i="29" s="1"/>
  <c r="B181" i="29" s="1"/>
  <c r="B132" i="29"/>
  <c r="B156" i="29" s="1"/>
  <c r="B180" i="29" s="1"/>
  <c r="B131" i="29"/>
  <c r="B155" i="29" s="1"/>
  <c r="B179" i="29" s="1"/>
  <c r="B130" i="29"/>
  <c r="B154" i="29" s="1"/>
  <c r="B178" i="29" s="1"/>
  <c r="B129" i="29"/>
  <c r="B153" i="29" s="1"/>
  <c r="B177" i="29" s="1"/>
  <c r="B128" i="29"/>
  <c r="B152" i="29" s="1"/>
  <c r="B176" i="29" s="1"/>
  <c r="A128" i="29"/>
  <c r="D127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A102" i="29"/>
  <c r="E100" i="29"/>
  <c r="E92" i="29" s="1"/>
  <c r="Q94" i="29"/>
  <c r="M94" i="29"/>
  <c r="K94" i="29"/>
  <c r="G94" i="29"/>
  <c r="E94" i="29"/>
  <c r="B94" i="29"/>
  <c r="D92" i="29"/>
  <c r="B89" i="29"/>
  <c r="D87" i="29"/>
  <c r="R84" i="29"/>
  <c r="R94" i="29" s="1"/>
  <c r="Q84" i="29"/>
  <c r="P84" i="29"/>
  <c r="P94" i="29" s="1"/>
  <c r="O84" i="29"/>
  <c r="O94" i="29" s="1"/>
  <c r="N84" i="29"/>
  <c r="N94" i="29" s="1"/>
  <c r="M84" i="29"/>
  <c r="L84" i="29"/>
  <c r="L94" i="29" s="1"/>
  <c r="K84" i="29"/>
  <c r="J84" i="29"/>
  <c r="J94" i="29" s="1"/>
  <c r="I84" i="29"/>
  <c r="I94" i="29" s="1"/>
  <c r="H84" i="29"/>
  <c r="H94" i="29" s="1"/>
  <c r="G84" i="29"/>
  <c r="F84" i="29"/>
  <c r="F94" i="29" s="1"/>
  <c r="E84" i="29"/>
  <c r="D84" i="29"/>
  <c r="D94" i="29" s="1"/>
  <c r="B84" i="29"/>
  <c r="D82" i="29"/>
  <c r="D78" i="29"/>
  <c r="E78" i="29" s="1"/>
  <c r="F78" i="29" s="1"/>
  <c r="G78" i="29" s="1"/>
  <c r="H78" i="29" s="1"/>
  <c r="I78" i="29" s="1"/>
  <c r="J78" i="29" s="1"/>
  <c r="K78" i="29" s="1"/>
  <c r="L78" i="29" s="1"/>
  <c r="M78" i="29" s="1"/>
  <c r="N78" i="29" s="1"/>
  <c r="O78" i="29" s="1"/>
  <c r="P78" i="29" s="1"/>
  <c r="Q78" i="29" s="1"/>
  <c r="R78" i="29" s="1"/>
  <c r="B78" i="29"/>
  <c r="E76" i="29"/>
  <c r="F76" i="29" s="1"/>
  <c r="G76" i="29" s="1"/>
  <c r="H76" i="29" s="1"/>
  <c r="I76" i="29" s="1"/>
  <c r="J76" i="29" s="1"/>
  <c r="K76" i="29" s="1"/>
  <c r="L76" i="29" s="1"/>
  <c r="M76" i="29" s="1"/>
  <c r="N76" i="29" s="1"/>
  <c r="O76" i="29" s="1"/>
  <c r="P76" i="29" s="1"/>
  <c r="Q76" i="29" s="1"/>
  <c r="R76" i="29" s="1"/>
  <c r="B70" i="29"/>
  <c r="D68" i="29"/>
  <c r="R65" i="29"/>
  <c r="Q65" i="29"/>
  <c r="P65" i="29"/>
  <c r="O65" i="29"/>
  <c r="N65" i="29"/>
  <c r="N70" i="29" s="1"/>
  <c r="M65" i="29"/>
  <c r="M70" i="29" s="1"/>
  <c r="L65" i="29"/>
  <c r="K65" i="29"/>
  <c r="J65" i="29"/>
  <c r="I65" i="29"/>
  <c r="H65" i="29"/>
  <c r="H70" i="29" s="1"/>
  <c r="G65" i="29"/>
  <c r="G70" i="29" s="1"/>
  <c r="F65" i="29"/>
  <c r="E65" i="29"/>
  <c r="D65" i="29"/>
  <c r="B65" i="29"/>
  <c r="D63" i="29"/>
  <c r="R60" i="29"/>
  <c r="R70" i="29" s="1"/>
  <c r="Q60" i="29"/>
  <c r="Q70" i="29" s="1"/>
  <c r="P60" i="29"/>
  <c r="P70" i="29" s="1"/>
  <c r="O60" i="29"/>
  <c r="O70" i="29" s="1"/>
  <c r="N60" i="29"/>
  <c r="M60" i="29"/>
  <c r="L60" i="29"/>
  <c r="L70" i="29" s="1"/>
  <c r="K60" i="29"/>
  <c r="K70" i="29" s="1"/>
  <c r="J60" i="29"/>
  <c r="J70" i="29" s="1"/>
  <c r="I60" i="29"/>
  <c r="I70" i="29" s="1"/>
  <c r="H60" i="29"/>
  <c r="G60" i="29"/>
  <c r="F60" i="29"/>
  <c r="F70" i="29" s="1"/>
  <c r="E60" i="29"/>
  <c r="E70" i="29" s="1"/>
  <c r="D60" i="29"/>
  <c r="D70" i="29" s="1"/>
  <c r="D73" i="29" s="1"/>
  <c r="E73" i="29" s="1"/>
  <c r="F73" i="29" s="1"/>
  <c r="B60" i="29"/>
  <c r="D58" i="29"/>
  <c r="C54" i="29"/>
  <c r="B54" i="29"/>
  <c r="F52" i="29"/>
  <c r="G52" i="29" s="1"/>
  <c r="H52" i="29" s="1"/>
  <c r="I52" i="29" s="1"/>
  <c r="J52" i="29" s="1"/>
  <c r="K52" i="29" s="1"/>
  <c r="L52" i="29" s="1"/>
  <c r="M52" i="29" s="1"/>
  <c r="N52" i="29" s="1"/>
  <c r="O52" i="29" s="1"/>
  <c r="P52" i="29" s="1"/>
  <c r="Q52" i="29" s="1"/>
  <c r="R52" i="29" s="1"/>
  <c r="E52" i="29"/>
  <c r="F49" i="29"/>
  <c r="G49" i="29" s="1"/>
  <c r="H49" i="29" s="1"/>
  <c r="I49" i="29" s="1"/>
  <c r="J49" i="29" s="1"/>
  <c r="K49" i="29" s="1"/>
  <c r="L49" i="29" s="1"/>
  <c r="M49" i="29" s="1"/>
  <c r="N49" i="29" s="1"/>
  <c r="O49" i="29" s="1"/>
  <c r="P49" i="29" s="1"/>
  <c r="Q49" i="29" s="1"/>
  <c r="R49" i="29" s="1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D49" i="29" s="1"/>
  <c r="E49" i="29" s="1"/>
  <c r="D44" i="29"/>
  <c r="D39" i="29"/>
  <c r="D34" i="29"/>
  <c r="E28" i="29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O12" i="29"/>
  <c r="E7" i="29"/>
  <c r="E8" i="29" s="1"/>
  <c r="E9" i="29" s="1"/>
  <c r="E10" i="29" s="1"/>
  <c r="E11" i="29" s="1"/>
  <c r="E12" i="29" s="1"/>
  <c r="E13" i="29" s="1"/>
  <c r="E14" i="29" s="1"/>
  <c r="E15" i="29" s="1"/>
  <c r="E16" i="29" s="1"/>
  <c r="E17" i="29" s="1"/>
  <c r="E18" i="29" s="1"/>
  <c r="E6" i="29"/>
  <c r="A6" i="29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E5" i="29"/>
  <c r="A5" i="29"/>
  <c r="D4" i="29"/>
  <c r="C54" i="5"/>
  <c r="A176" i="27"/>
  <c r="D175" i="27"/>
  <c r="A152" i="27"/>
  <c r="D151" i="27"/>
  <c r="B142" i="27"/>
  <c r="B166" i="27" s="1"/>
  <c r="B190" i="27" s="1"/>
  <c r="B141" i="27"/>
  <c r="B165" i="27" s="1"/>
  <c r="B189" i="27" s="1"/>
  <c r="B140" i="27"/>
  <c r="B164" i="27" s="1"/>
  <c r="B188" i="27" s="1"/>
  <c r="B139" i="27"/>
  <c r="B163" i="27" s="1"/>
  <c r="B187" i="27" s="1"/>
  <c r="B138" i="27"/>
  <c r="B162" i="27" s="1"/>
  <c r="B186" i="27" s="1"/>
  <c r="B137" i="27"/>
  <c r="B161" i="27" s="1"/>
  <c r="B185" i="27" s="1"/>
  <c r="B136" i="27"/>
  <c r="B160" i="27" s="1"/>
  <c r="B184" i="27" s="1"/>
  <c r="B135" i="27"/>
  <c r="B159" i="27" s="1"/>
  <c r="B183" i="27" s="1"/>
  <c r="B134" i="27"/>
  <c r="B158" i="27" s="1"/>
  <c r="B182" i="27" s="1"/>
  <c r="B133" i="27"/>
  <c r="B157" i="27" s="1"/>
  <c r="B181" i="27" s="1"/>
  <c r="B132" i="27"/>
  <c r="B156" i="27" s="1"/>
  <c r="B180" i="27" s="1"/>
  <c r="B131" i="27"/>
  <c r="B155" i="27" s="1"/>
  <c r="B179" i="27" s="1"/>
  <c r="B130" i="27"/>
  <c r="B154" i="27" s="1"/>
  <c r="B178" i="27" s="1"/>
  <c r="B129" i="27"/>
  <c r="B153" i="27" s="1"/>
  <c r="B177" i="27" s="1"/>
  <c r="B128" i="27"/>
  <c r="A128" i="27"/>
  <c r="E127" i="27"/>
  <c r="D127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R115" i="27"/>
  <c r="A102" i="27"/>
  <c r="C101" i="27"/>
  <c r="E100" i="27"/>
  <c r="E82" i="27" s="1"/>
  <c r="R94" i="27"/>
  <c r="P94" i="27"/>
  <c r="N94" i="27"/>
  <c r="M94" i="27"/>
  <c r="L94" i="27"/>
  <c r="J94" i="27"/>
  <c r="F94" i="27"/>
  <c r="B94" i="27"/>
  <c r="E92" i="27"/>
  <c r="D92" i="27"/>
  <c r="B89" i="27"/>
  <c r="D87" i="27"/>
  <c r="R84" i="27"/>
  <c r="Q84" i="27"/>
  <c r="Q94" i="27" s="1"/>
  <c r="P84" i="27"/>
  <c r="O84" i="27"/>
  <c r="O94" i="27" s="1"/>
  <c r="N84" i="27"/>
  <c r="M84" i="27"/>
  <c r="L84" i="27"/>
  <c r="K84" i="27"/>
  <c r="K94" i="27" s="1"/>
  <c r="J84" i="27"/>
  <c r="I84" i="27"/>
  <c r="I94" i="27" s="1"/>
  <c r="H84" i="27"/>
  <c r="H94" i="27" s="1"/>
  <c r="G84" i="27"/>
  <c r="G94" i="27" s="1"/>
  <c r="F84" i="27"/>
  <c r="E84" i="27"/>
  <c r="E94" i="27" s="1"/>
  <c r="D84" i="27"/>
  <c r="D94" i="27" s="1"/>
  <c r="O97" i="27" s="1"/>
  <c r="B84" i="27"/>
  <c r="D82" i="27"/>
  <c r="D78" i="27"/>
  <c r="B78" i="27"/>
  <c r="E76" i="27"/>
  <c r="F76" i="27" s="1"/>
  <c r="G76" i="27" s="1"/>
  <c r="H76" i="27" s="1"/>
  <c r="I76" i="27" s="1"/>
  <c r="J76" i="27" s="1"/>
  <c r="K76" i="27" s="1"/>
  <c r="L76" i="27" s="1"/>
  <c r="M76" i="27" s="1"/>
  <c r="N76" i="27" s="1"/>
  <c r="O76" i="27" s="1"/>
  <c r="P76" i="27" s="1"/>
  <c r="Q76" i="27" s="1"/>
  <c r="R76" i="27" s="1"/>
  <c r="O70" i="27"/>
  <c r="I70" i="27"/>
  <c r="B70" i="27"/>
  <c r="D68" i="27"/>
  <c r="R65" i="27"/>
  <c r="Q65" i="27"/>
  <c r="P65" i="27"/>
  <c r="P70" i="27" s="1"/>
  <c r="O65" i="27"/>
  <c r="N65" i="27"/>
  <c r="M65" i="27"/>
  <c r="L65" i="27"/>
  <c r="K65" i="27"/>
  <c r="J65" i="27"/>
  <c r="J70" i="27" s="1"/>
  <c r="I65" i="27"/>
  <c r="H65" i="27"/>
  <c r="G65" i="27"/>
  <c r="F65" i="27"/>
  <c r="E65" i="27"/>
  <c r="D65" i="27"/>
  <c r="D70" i="27" s="1"/>
  <c r="D73" i="27" s="1"/>
  <c r="B65" i="27"/>
  <c r="D63" i="27"/>
  <c r="R60" i="27"/>
  <c r="R70" i="27" s="1"/>
  <c r="Q60" i="27"/>
  <c r="Q70" i="27" s="1"/>
  <c r="P60" i="27"/>
  <c r="O60" i="27"/>
  <c r="N60" i="27"/>
  <c r="N70" i="27" s="1"/>
  <c r="M60" i="27"/>
  <c r="M70" i="27" s="1"/>
  <c r="L60" i="27"/>
  <c r="L70" i="27" s="1"/>
  <c r="K60" i="27"/>
  <c r="K70" i="27" s="1"/>
  <c r="J60" i="27"/>
  <c r="I60" i="27"/>
  <c r="H60" i="27"/>
  <c r="H70" i="27" s="1"/>
  <c r="G60" i="27"/>
  <c r="G70" i="27" s="1"/>
  <c r="F60" i="27"/>
  <c r="F70" i="27" s="1"/>
  <c r="E60" i="27"/>
  <c r="E70" i="27" s="1"/>
  <c r="D60" i="27"/>
  <c r="B60" i="27"/>
  <c r="E58" i="27"/>
  <c r="D58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B54" i="27"/>
  <c r="E52" i="27"/>
  <c r="F52" i="27" s="1"/>
  <c r="G52" i="27" s="1"/>
  <c r="H52" i="27" s="1"/>
  <c r="I52" i="27" s="1"/>
  <c r="J52" i="27" s="1"/>
  <c r="K52" i="27" s="1"/>
  <c r="L52" i="27" s="1"/>
  <c r="M52" i="27" s="1"/>
  <c r="N52" i="27" s="1"/>
  <c r="O52" i="27" s="1"/>
  <c r="P52" i="27" s="1"/>
  <c r="Q52" i="27" s="1"/>
  <c r="R52" i="27" s="1"/>
  <c r="R46" i="27"/>
  <c r="Q46" i="27"/>
  <c r="P46" i="27"/>
  <c r="O46" i="27"/>
  <c r="N46" i="27"/>
  <c r="M46" i="27"/>
  <c r="L46" i="27"/>
  <c r="K46" i="27"/>
  <c r="J46" i="27"/>
  <c r="I46" i="27"/>
  <c r="H46" i="27"/>
  <c r="G46" i="27"/>
  <c r="F46" i="27"/>
  <c r="E46" i="27"/>
  <c r="D46" i="27"/>
  <c r="D49" i="27" s="1"/>
  <c r="E49" i="27" s="1"/>
  <c r="F49" i="27" s="1"/>
  <c r="G49" i="27" s="1"/>
  <c r="H49" i="27" s="1"/>
  <c r="I49" i="27" s="1"/>
  <c r="J49" i="27" s="1"/>
  <c r="K49" i="27" s="1"/>
  <c r="L49" i="27" s="1"/>
  <c r="M49" i="27" s="1"/>
  <c r="N49" i="27" s="1"/>
  <c r="O49" i="27" s="1"/>
  <c r="P49" i="27" s="1"/>
  <c r="Q49" i="27" s="1"/>
  <c r="R49" i="27" s="1"/>
  <c r="D44" i="27"/>
  <c r="E39" i="27"/>
  <c r="D39" i="27"/>
  <c r="D34" i="27"/>
  <c r="E28" i="27"/>
  <c r="F28" i="27" s="1"/>
  <c r="G28" i="27" s="1"/>
  <c r="H28" i="27" s="1"/>
  <c r="I28" i="27" s="1"/>
  <c r="J28" i="27" s="1"/>
  <c r="K28" i="27" s="1"/>
  <c r="L28" i="27" s="1"/>
  <c r="M28" i="27" s="1"/>
  <c r="N28" i="27" s="1"/>
  <c r="O28" i="27" s="1"/>
  <c r="P28" i="27" s="1"/>
  <c r="Q28" i="27" s="1"/>
  <c r="R28" i="27" s="1"/>
  <c r="O12" i="27"/>
  <c r="E5" i="27"/>
  <c r="E6" i="27" s="1"/>
  <c r="E7" i="27" s="1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E18" i="27" s="1"/>
  <c r="D5" i="27"/>
  <c r="A5" i="27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D4" i="27"/>
  <c r="D121" i="27" s="1"/>
  <c r="D123" i="27" s="1"/>
  <c r="D211" i="27" s="1"/>
  <c r="E54" i="5"/>
  <c r="E65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D54" i="5"/>
  <c r="E60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D65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D60" i="5"/>
  <c r="B70" i="5"/>
  <c r="B65" i="5"/>
  <c r="B60" i="5"/>
  <c r="B54" i="5"/>
  <c r="E82" i="30" l="1"/>
  <c r="F100" i="30"/>
  <c r="F44" i="30" s="1"/>
  <c r="E44" i="29"/>
  <c r="E34" i="29"/>
  <c r="F100" i="29"/>
  <c r="F34" i="29" s="1"/>
  <c r="E39" i="29"/>
  <c r="E58" i="29"/>
  <c r="E63" i="29"/>
  <c r="E68" i="29"/>
  <c r="G73" i="29"/>
  <c r="H73" i="29" s="1"/>
  <c r="I73" i="29" s="1"/>
  <c r="J73" i="29" s="1"/>
  <c r="K73" i="29" s="1"/>
  <c r="L73" i="29" s="1"/>
  <c r="M73" i="29" s="1"/>
  <c r="N73" i="29" s="1"/>
  <c r="O73" i="29" s="1"/>
  <c r="P73" i="29" s="1"/>
  <c r="Q73" i="29" s="1"/>
  <c r="R73" i="29" s="1"/>
  <c r="E73" i="30"/>
  <c r="Q70" i="30"/>
  <c r="G70" i="30"/>
  <c r="M70" i="30"/>
  <c r="J70" i="30"/>
  <c r="P70" i="30"/>
  <c r="F68" i="30"/>
  <c r="R97" i="30"/>
  <c r="L97" i="30"/>
  <c r="F97" i="30"/>
  <c r="O97" i="30"/>
  <c r="H97" i="30"/>
  <c r="N97" i="30"/>
  <c r="G97" i="30"/>
  <c r="K97" i="30"/>
  <c r="D97" i="30"/>
  <c r="I97" i="30"/>
  <c r="Q97" i="30"/>
  <c r="J97" i="30"/>
  <c r="P97" i="30"/>
  <c r="E121" i="30"/>
  <c r="E123" i="30" s="1"/>
  <c r="E211" i="30" s="1"/>
  <c r="F5" i="30"/>
  <c r="C102" i="30"/>
  <c r="D6" i="30"/>
  <c r="E97" i="30"/>
  <c r="M97" i="30"/>
  <c r="F82" i="30"/>
  <c r="F58" i="30"/>
  <c r="F87" i="30"/>
  <c r="G100" i="30"/>
  <c r="F127" i="30"/>
  <c r="F92" i="30"/>
  <c r="F39" i="30"/>
  <c r="F34" i="30"/>
  <c r="F4" i="30"/>
  <c r="A177" i="30"/>
  <c r="A153" i="30"/>
  <c r="A103" i="30"/>
  <c r="F70" i="30"/>
  <c r="F73" i="30" s="1"/>
  <c r="L70" i="30"/>
  <c r="R70" i="30"/>
  <c r="E151" i="30"/>
  <c r="E127" i="30"/>
  <c r="E87" i="30"/>
  <c r="E63" i="30"/>
  <c r="E175" i="30"/>
  <c r="B176" i="30"/>
  <c r="A129" i="30"/>
  <c r="H97" i="29"/>
  <c r="D121" i="29"/>
  <c r="D123" i="29" s="1"/>
  <c r="D211" i="29" s="1"/>
  <c r="C101" i="29"/>
  <c r="F175" i="29"/>
  <c r="F151" i="29"/>
  <c r="F127" i="29"/>
  <c r="F82" i="29"/>
  <c r="F58" i="29"/>
  <c r="F39" i="29"/>
  <c r="G100" i="29"/>
  <c r="F87" i="29"/>
  <c r="F63" i="29"/>
  <c r="F4" i="29"/>
  <c r="D5" i="29"/>
  <c r="R97" i="29"/>
  <c r="L97" i="29"/>
  <c r="F97" i="29"/>
  <c r="Q97" i="29"/>
  <c r="K97" i="29"/>
  <c r="E97" i="29"/>
  <c r="P97" i="29"/>
  <c r="J97" i="29"/>
  <c r="D97" i="29"/>
  <c r="O97" i="29"/>
  <c r="I97" i="29"/>
  <c r="M97" i="29"/>
  <c r="G97" i="29"/>
  <c r="N97" i="29"/>
  <c r="F44" i="29"/>
  <c r="F68" i="29"/>
  <c r="E175" i="29"/>
  <c r="E151" i="29"/>
  <c r="E127" i="29"/>
  <c r="A177" i="29"/>
  <c r="A153" i="29"/>
  <c r="A129" i="29"/>
  <c r="E82" i="29"/>
  <c r="A103" i="29"/>
  <c r="E87" i="29"/>
  <c r="C102" i="27"/>
  <c r="E121" i="27"/>
  <c r="E123" i="27" s="1"/>
  <c r="E211" i="27" s="1"/>
  <c r="F5" i="27"/>
  <c r="D6" i="27"/>
  <c r="E73" i="27"/>
  <c r="F73" i="27" s="1"/>
  <c r="G73" i="27" s="1"/>
  <c r="H73" i="27" s="1"/>
  <c r="I73" i="27" s="1"/>
  <c r="J73" i="27" s="1"/>
  <c r="K73" i="27" s="1"/>
  <c r="L73" i="27" s="1"/>
  <c r="M73" i="27" s="1"/>
  <c r="N73" i="27" s="1"/>
  <c r="O73" i="27" s="1"/>
  <c r="P73" i="27" s="1"/>
  <c r="Q73" i="27" s="1"/>
  <c r="R73" i="27" s="1"/>
  <c r="Q97" i="27"/>
  <c r="J97" i="27"/>
  <c r="D97" i="27"/>
  <c r="E97" i="27"/>
  <c r="F4" i="27"/>
  <c r="E68" i="27"/>
  <c r="E78" i="27"/>
  <c r="F78" i="27" s="1"/>
  <c r="G78" i="27" s="1"/>
  <c r="H78" i="27" s="1"/>
  <c r="I78" i="27" s="1"/>
  <c r="J78" i="27" s="1"/>
  <c r="K78" i="27" s="1"/>
  <c r="L78" i="27" s="1"/>
  <c r="M78" i="27" s="1"/>
  <c r="N78" i="27" s="1"/>
  <c r="O78" i="27" s="1"/>
  <c r="P78" i="27" s="1"/>
  <c r="Q78" i="27" s="1"/>
  <c r="R78" i="27" s="1"/>
  <c r="E87" i="27"/>
  <c r="G97" i="27"/>
  <c r="E102" i="27"/>
  <c r="F103" i="27" s="1"/>
  <c r="G104" i="27" s="1"/>
  <c r="H105" i="27" s="1"/>
  <c r="I106" i="27" s="1"/>
  <c r="J107" i="27" s="1"/>
  <c r="K108" i="27" s="1"/>
  <c r="L109" i="27" s="1"/>
  <c r="M110" i="27" s="1"/>
  <c r="N111" i="27" s="1"/>
  <c r="O112" i="27" s="1"/>
  <c r="P113" i="27" s="1"/>
  <c r="Q114" i="27" s="1"/>
  <c r="N97" i="27"/>
  <c r="H97" i="27"/>
  <c r="R97" i="27"/>
  <c r="E34" i="27"/>
  <c r="E44" i="27"/>
  <c r="I97" i="27"/>
  <c r="P97" i="27"/>
  <c r="L97" i="27"/>
  <c r="E175" i="27"/>
  <c r="F100" i="27"/>
  <c r="E151" i="27"/>
  <c r="K97" i="27"/>
  <c r="E63" i="27"/>
  <c r="F97" i="27"/>
  <c r="M97" i="27"/>
  <c r="A177" i="27"/>
  <c r="A153" i="27"/>
  <c r="A129" i="27"/>
  <c r="A103" i="27"/>
  <c r="B152" i="27"/>
  <c r="D70" i="5"/>
  <c r="D73" i="5" s="1"/>
  <c r="F151" i="30" l="1"/>
  <c r="F63" i="30"/>
  <c r="F175" i="30"/>
  <c r="F92" i="29"/>
  <c r="G73" i="30"/>
  <c r="H73" i="30" s="1"/>
  <c r="I73" i="30" s="1"/>
  <c r="J73" i="30" s="1"/>
  <c r="K73" i="30" s="1"/>
  <c r="G175" i="30"/>
  <c r="G92" i="30"/>
  <c r="G151" i="30"/>
  <c r="G127" i="30"/>
  <c r="H100" i="30"/>
  <c r="G63" i="30"/>
  <c r="G68" i="30"/>
  <c r="G44" i="30"/>
  <c r="G34" i="30"/>
  <c r="G82" i="30"/>
  <c r="G87" i="30"/>
  <c r="G58" i="30"/>
  <c r="G39" i="30"/>
  <c r="A154" i="30"/>
  <c r="A130" i="30"/>
  <c r="A178" i="30"/>
  <c r="A104" i="30"/>
  <c r="C103" i="30"/>
  <c r="D7" i="30"/>
  <c r="F121" i="30"/>
  <c r="F123" i="30" s="1"/>
  <c r="F211" i="30" s="1"/>
  <c r="F6" i="30"/>
  <c r="L73" i="30"/>
  <c r="M73" i="30" s="1"/>
  <c r="N73" i="30" s="1"/>
  <c r="O73" i="30" s="1"/>
  <c r="P73" i="30" s="1"/>
  <c r="Q73" i="30" s="1"/>
  <c r="R73" i="30" s="1"/>
  <c r="A178" i="29"/>
  <c r="A154" i="29"/>
  <c r="A130" i="29"/>
  <c r="A104" i="29"/>
  <c r="E121" i="29"/>
  <c r="E123" i="29" s="1"/>
  <c r="E211" i="29" s="1"/>
  <c r="D6" i="29"/>
  <c r="C102" i="29"/>
  <c r="F5" i="29"/>
  <c r="G175" i="29"/>
  <c r="G151" i="29"/>
  <c r="G127" i="29"/>
  <c r="G92" i="29"/>
  <c r="H100" i="29"/>
  <c r="G68" i="29"/>
  <c r="G82" i="29"/>
  <c r="G58" i="29"/>
  <c r="G39" i="29"/>
  <c r="G34" i="29"/>
  <c r="G63" i="29"/>
  <c r="G87" i="29"/>
  <c r="G44" i="29"/>
  <c r="F121" i="27"/>
  <c r="F123" i="27" s="1"/>
  <c r="F211" i="27" s="1"/>
  <c r="D7" i="27"/>
  <c r="C103" i="27"/>
  <c r="F6" i="27"/>
  <c r="F102" i="27"/>
  <c r="G103" i="27" s="1"/>
  <c r="H104" i="27" s="1"/>
  <c r="I105" i="27" s="1"/>
  <c r="J106" i="27" s="1"/>
  <c r="K107" i="27" s="1"/>
  <c r="L108" i="27" s="1"/>
  <c r="M109" i="27" s="1"/>
  <c r="N110" i="27" s="1"/>
  <c r="O111" i="27" s="1"/>
  <c r="P112" i="27" s="1"/>
  <c r="Q113" i="27" s="1"/>
  <c r="R114" i="27" s="1"/>
  <c r="B176" i="27"/>
  <c r="A104" i="27"/>
  <c r="A154" i="27"/>
  <c r="A178" i="27"/>
  <c r="A130" i="27"/>
  <c r="F175" i="27"/>
  <c r="F151" i="27"/>
  <c r="F127" i="27"/>
  <c r="G100" i="27"/>
  <c r="F58" i="27"/>
  <c r="F39" i="27"/>
  <c r="F92" i="27"/>
  <c r="F34" i="27"/>
  <c r="F87" i="27"/>
  <c r="F68" i="27"/>
  <c r="F63" i="27"/>
  <c r="F82" i="27"/>
  <c r="F44" i="27"/>
  <c r="E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D46" i="5"/>
  <c r="D49" i="5" s="1"/>
  <c r="E49" i="5" s="1"/>
  <c r="F49" i="5" s="1"/>
  <c r="G49" i="5" s="1"/>
  <c r="D44" i="5"/>
  <c r="D39" i="5"/>
  <c r="D34" i="5"/>
  <c r="E28" i="5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R28" i="5" s="1"/>
  <c r="M70" i="5"/>
  <c r="D68" i="5"/>
  <c r="D63" i="5"/>
  <c r="R70" i="5"/>
  <c r="Q70" i="5"/>
  <c r="P70" i="5"/>
  <c r="O70" i="5"/>
  <c r="N70" i="5"/>
  <c r="L70" i="5"/>
  <c r="K70" i="5"/>
  <c r="J70" i="5"/>
  <c r="I70" i="5"/>
  <c r="H70" i="5"/>
  <c r="G70" i="5"/>
  <c r="F70" i="5"/>
  <c r="E70" i="5"/>
  <c r="D58" i="5"/>
  <c r="E52" i="5"/>
  <c r="F52" i="5" s="1"/>
  <c r="G52" i="5" s="1"/>
  <c r="H52" i="5" s="1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I84" i="5"/>
  <c r="I94" i="5" s="1"/>
  <c r="H84" i="5"/>
  <c r="H94" i="5" s="1"/>
  <c r="R84" i="5"/>
  <c r="R94" i="5" s="1"/>
  <c r="Q84" i="5"/>
  <c r="Q94" i="5" s="1"/>
  <c r="P84" i="5"/>
  <c r="P94" i="5" s="1"/>
  <c r="O84" i="5"/>
  <c r="O94" i="5" s="1"/>
  <c r="N84" i="5"/>
  <c r="N94" i="5" s="1"/>
  <c r="M84" i="5"/>
  <c r="M94" i="5" s="1"/>
  <c r="L84" i="5"/>
  <c r="L94" i="5" s="1"/>
  <c r="K84" i="5"/>
  <c r="K94" i="5" s="1"/>
  <c r="J84" i="5"/>
  <c r="J94" i="5" s="1"/>
  <c r="G84" i="5"/>
  <c r="G94" i="5" s="1"/>
  <c r="F84" i="5"/>
  <c r="F94" i="5" s="1"/>
  <c r="D84" i="5"/>
  <c r="E84" i="5"/>
  <c r="E94" i="5" s="1"/>
  <c r="D78" i="5"/>
  <c r="B94" i="5"/>
  <c r="B89" i="5"/>
  <c r="B84" i="5"/>
  <c r="B78" i="5"/>
  <c r="U6" i="24"/>
  <c r="T6" i="24"/>
  <c r="S6" i="24"/>
  <c r="S1" i="24" s="1"/>
  <c r="R6" i="24"/>
  <c r="R1" i="24" s="1"/>
  <c r="Q6" i="24"/>
  <c r="Q1" i="24" s="1"/>
  <c r="P6" i="24"/>
  <c r="P1" i="24" s="1"/>
  <c r="O6" i="24"/>
  <c r="N6" i="24"/>
  <c r="N1" i="24" s="1"/>
  <c r="M6" i="24"/>
  <c r="L6" i="24"/>
  <c r="L1" i="24" s="1"/>
  <c r="K6" i="24"/>
  <c r="K1" i="24" s="1"/>
  <c r="J6" i="24"/>
  <c r="J1" i="24" s="1"/>
  <c r="I6" i="24"/>
  <c r="H6" i="24"/>
  <c r="H1" i="24" s="1"/>
  <c r="U6" i="23"/>
  <c r="U1" i="23" s="1"/>
  <c r="T6" i="23"/>
  <c r="T1" i="23" s="1"/>
  <c r="S6" i="23"/>
  <c r="S1" i="23" s="1"/>
  <c r="R6" i="23"/>
  <c r="R1" i="23" s="1"/>
  <c r="Q6" i="23"/>
  <c r="Q1" i="23" s="1"/>
  <c r="P6" i="23"/>
  <c r="P1" i="23" s="1"/>
  <c r="O6" i="23"/>
  <c r="O1" i="23" s="1"/>
  <c r="N6" i="23"/>
  <c r="N1" i="23" s="1"/>
  <c r="M6" i="23"/>
  <c r="M1" i="23" s="1"/>
  <c r="L6" i="23"/>
  <c r="L1" i="23" s="1"/>
  <c r="K6" i="23"/>
  <c r="K1" i="23" s="1"/>
  <c r="J6" i="23"/>
  <c r="J1" i="23" s="1"/>
  <c r="I6" i="23"/>
  <c r="I1" i="23" s="1"/>
  <c r="H6" i="23"/>
  <c r="H1" i="23" s="1"/>
  <c r="U6" i="22"/>
  <c r="U1" i="22" s="1"/>
  <c r="T6" i="22"/>
  <c r="S6" i="22"/>
  <c r="R6" i="22"/>
  <c r="Q6" i="22"/>
  <c r="Q1" i="22" s="1"/>
  <c r="P6" i="22"/>
  <c r="O6" i="22"/>
  <c r="N6" i="22"/>
  <c r="M6" i="22"/>
  <c r="L6" i="22"/>
  <c r="K6" i="22"/>
  <c r="K1" i="22" s="1"/>
  <c r="J6" i="22"/>
  <c r="I6" i="22"/>
  <c r="I1" i="22" s="1"/>
  <c r="H6" i="22"/>
  <c r="H1" i="22" s="1"/>
  <c r="C1" i="24"/>
  <c r="C1" i="23"/>
  <c r="C1" i="22"/>
  <c r="I1" i="24"/>
  <c r="M1" i="24"/>
  <c r="O1" i="24"/>
  <c r="T1" i="24"/>
  <c r="U1" i="24"/>
  <c r="L1" i="22"/>
  <c r="Z114" i="6"/>
  <c r="Y114" i="6"/>
  <c r="AA114" i="6" s="1"/>
  <c r="Z98" i="6"/>
  <c r="Y98" i="6"/>
  <c r="AA98" i="6" s="1"/>
  <c r="Z82" i="6"/>
  <c r="Y82" i="6"/>
  <c r="AA82" i="6" s="1"/>
  <c r="Z66" i="6"/>
  <c r="Y66" i="6"/>
  <c r="AA66" i="6" s="1"/>
  <c r="Z50" i="6"/>
  <c r="Y50" i="6"/>
  <c r="AA50" i="6" s="1"/>
  <c r="Z34" i="6"/>
  <c r="Y34" i="6"/>
  <c r="AA34" i="6" s="1"/>
  <c r="AA18" i="6"/>
  <c r="W114" i="6"/>
  <c r="V114" i="6"/>
  <c r="U114" i="6"/>
  <c r="T114" i="6"/>
  <c r="R114" i="6"/>
  <c r="Q114" i="6"/>
  <c r="P114" i="6"/>
  <c r="O114" i="6"/>
  <c r="M114" i="6"/>
  <c r="L114" i="6"/>
  <c r="K114" i="6"/>
  <c r="J114" i="6"/>
  <c r="H114" i="6"/>
  <c r="G114" i="6"/>
  <c r="W113" i="6"/>
  <c r="V113" i="6"/>
  <c r="U113" i="6"/>
  <c r="T113" i="6"/>
  <c r="R113" i="6"/>
  <c r="Q113" i="6"/>
  <c r="P113" i="6"/>
  <c r="O113" i="6"/>
  <c r="M113" i="6"/>
  <c r="L113" i="6"/>
  <c r="K113" i="6"/>
  <c r="J113" i="6"/>
  <c r="H113" i="6"/>
  <c r="G113" i="6"/>
  <c r="W112" i="6"/>
  <c r="V112" i="6"/>
  <c r="U112" i="6"/>
  <c r="T112" i="6"/>
  <c r="R112" i="6"/>
  <c r="Q112" i="6"/>
  <c r="P112" i="6"/>
  <c r="O112" i="6"/>
  <c r="M112" i="6"/>
  <c r="L112" i="6"/>
  <c r="K112" i="6"/>
  <c r="J112" i="6"/>
  <c r="H112" i="6"/>
  <c r="G112" i="6"/>
  <c r="W111" i="6"/>
  <c r="V111" i="6"/>
  <c r="U111" i="6"/>
  <c r="T111" i="6"/>
  <c r="R111" i="6"/>
  <c r="Q111" i="6"/>
  <c r="P111" i="6"/>
  <c r="O111" i="6"/>
  <c r="M111" i="6"/>
  <c r="L111" i="6"/>
  <c r="K111" i="6"/>
  <c r="J111" i="6"/>
  <c r="H111" i="6"/>
  <c r="G111" i="6"/>
  <c r="W110" i="6"/>
  <c r="V110" i="6"/>
  <c r="U110" i="6"/>
  <c r="T110" i="6"/>
  <c r="R110" i="6"/>
  <c r="Q110" i="6"/>
  <c r="P110" i="6"/>
  <c r="O110" i="6"/>
  <c r="M110" i="6"/>
  <c r="L110" i="6"/>
  <c r="K110" i="6"/>
  <c r="J110" i="6"/>
  <c r="H110" i="6"/>
  <c r="G110" i="6"/>
  <c r="W109" i="6"/>
  <c r="V109" i="6"/>
  <c r="U109" i="6"/>
  <c r="T109" i="6"/>
  <c r="R109" i="6"/>
  <c r="Q109" i="6"/>
  <c r="P109" i="6"/>
  <c r="O109" i="6"/>
  <c r="M109" i="6"/>
  <c r="L109" i="6"/>
  <c r="K109" i="6"/>
  <c r="J109" i="6"/>
  <c r="H109" i="6"/>
  <c r="G109" i="6"/>
  <c r="W108" i="6"/>
  <c r="V108" i="6"/>
  <c r="U108" i="6"/>
  <c r="T108" i="6"/>
  <c r="R108" i="6"/>
  <c r="Q108" i="6"/>
  <c r="P108" i="6"/>
  <c r="O108" i="6"/>
  <c r="M108" i="6"/>
  <c r="L108" i="6"/>
  <c r="K108" i="6"/>
  <c r="J108" i="6"/>
  <c r="H108" i="6"/>
  <c r="G108" i="6"/>
  <c r="W107" i="6"/>
  <c r="V107" i="6"/>
  <c r="U107" i="6"/>
  <c r="T107" i="6"/>
  <c r="R107" i="6"/>
  <c r="Q107" i="6"/>
  <c r="P107" i="6"/>
  <c r="O107" i="6"/>
  <c r="M107" i="6"/>
  <c r="L107" i="6"/>
  <c r="K107" i="6"/>
  <c r="J107" i="6"/>
  <c r="H107" i="6"/>
  <c r="G107" i="6"/>
  <c r="W106" i="6"/>
  <c r="V106" i="6"/>
  <c r="U106" i="6"/>
  <c r="T106" i="6"/>
  <c r="R106" i="6"/>
  <c r="Q106" i="6"/>
  <c r="P106" i="6"/>
  <c r="O106" i="6"/>
  <c r="M106" i="6"/>
  <c r="L106" i="6"/>
  <c r="K106" i="6"/>
  <c r="J106" i="6"/>
  <c r="H106" i="6"/>
  <c r="G106" i="6"/>
  <c r="W105" i="6"/>
  <c r="V105" i="6"/>
  <c r="U105" i="6"/>
  <c r="T105" i="6"/>
  <c r="R105" i="6"/>
  <c r="Q105" i="6"/>
  <c r="P105" i="6"/>
  <c r="O105" i="6"/>
  <c r="M105" i="6"/>
  <c r="L105" i="6"/>
  <c r="K105" i="6"/>
  <c r="J105" i="6"/>
  <c r="H105" i="6"/>
  <c r="G105" i="6"/>
  <c r="W104" i="6"/>
  <c r="V104" i="6"/>
  <c r="U104" i="6"/>
  <c r="T104" i="6"/>
  <c r="R104" i="6"/>
  <c r="Q104" i="6"/>
  <c r="P104" i="6"/>
  <c r="O104" i="6"/>
  <c r="M104" i="6"/>
  <c r="L104" i="6"/>
  <c r="K104" i="6"/>
  <c r="J104" i="6"/>
  <c r="H104" i="6"/>
  <c r="G104" i="6"/>
  <c r="W103" i="6"/>
  <c r="V103" i="6"/>
  <c r="U103" i="6"/>
  <c r="T103" i="6"/>
  <c r="R103" i="6"/>
  <c r="Q103" i="6"/>
  <c r="P103" i="6"/>
  <c r="O103" i="6"/>
  <c r="M103" i="6"/>
  <c r="L103" i="6"/>
  <c r="K103" i="6"/>
  <c r="J103" i="6"/>
  <c r="H103" i="6"/>
  <c r="G103" i="6"/>
  <c r="W102" i="6"/>
  <c r="V102" i="6"/>
  <c r="U102" i="6"/>
  <c r="T102" i="6"/>
  <c r="R102" i="6"/>
  <c r="Q102" i="6"/>
  <c r="P102" i="6"/>
  <c r="O102" i="6"/>
  <c r="M102" i="6"/>
  <c r="L102" i="6"/>
  <c r="K102" i="6"/>
  <c r="J102" i="6"/>
  <c r="H102" i="6"/>
  <c r="G102" i="6"/>
  <c r="W101" i="6"/>
  <c r="V101" i="6"/>
  <c r="U101" i="6"/>
  <c r="T101" i="6"/>
  <c r="R101" i="6"/>
  <c r="Q101" i="6"/>
  <c r="P101" i="6"/>
  <c r="O101" i="6"/>
  <c r="M101" i="6"/>
  <c r="L101" i="6"/>
  <c r="K101" i="6"/>
  <c r="J101" i="6"/>
  <c r="H101" i="6"/>
  <c r="G101" i="6"/>
  <c r="W100" i="6"/>
  <c r="V100" i="6"/>
  <c r="U100" i="6"/>
  <c r="T100" i="6"/>
  <c r="R100" i="6"/>
  <c r="Q100" i="6"/>
  <c r="P100" i="6"/>
  <c r="O100" i="6"/>
  <c r="M100" i="6"/>
  <c r="L100" i="6"/>
  <c r="K100" i="6"/>
  <c r="J100" i="6"/>
  <c r="H100" i="6"/>
  <c r="G100" i="6"/>
  <c r="W98" i="6"/>
  <c r="V98" i="6"/>
  <c r="U98" i="6"/>
  <c r="T98" i="6"/>
  <c r="R98" i="6"/>
  <c r="Q98" i="6"/>
  <c r="P98" i="6"/>
  <c r="O98" i="6"/>
  <c r="M98" i="6"/>
  <c r="L98" i="6"/>
  <c r="K98" i="6"/>
  <c r="J98" i="6"/>
  <c r="H98" i="6"/>
  <c r="G98" i="6"/>
  <c r="W97" i="6"/>
  <c r="V97" i="6"/>
  <c r="U97" i="6"/>
  <c r="T97" i="6"/>
  <c r="R97" i="6"/>
  <c r="Q97" i="6"/>
  <c r="P97" i="6"/>
  <c r="O97" i="6"/>
  <c r="M97" i="6"/>
  <c r="L97" i="6"/>
  <c r="K97" i="6"/>
  <c r="J97" i="6"/>
  <c r="H97" i="6"/>
  <c r="G97" i="6"/>
  <c r="W96" i="6"/>
  <c r="V96" i="6"/>
  <c r="U96" i="6"/>
  <c r="T96" i="6"/>
  <c r="R96" i="6"/>
  <c r="Q96" i="6"/>
  <c r="P96" i="6"/>
  <c r="O96" i="6"/>
  <c r="M96" i="6"/>
  <c r="L96" i="6"/>
  <c r="K96" i="6"/>
  <c r="J96" i="6"/>
  <c r="H96" i="6"/>
  <c r="G96" i="6"/>
  <c r="W95" i="6"/>
  <c r="V95" i="6"/>
  <c r="U95" i="6"/>
  <c r="T95" i="6"/>
  <c r="R95" i="6"/>
  <c r="Q95" i="6"/>
  <c r="P95" i="6"/>
  <c r="O95" i="6"/>
  <c r="M95" i="6"/>
  <c r="L95" i="6"/>
  <c r="K95" i="6"/>
  <c r="J95" i="6"/>
  <c r="H95" i="6"/>
  <c r="G95" i="6"/>
  <c r="W94" i="6"/>
  <c r="V94" i="6"/>
  <c r="U94" i="6"/>
  <c r="T94" i="6"/>
  <c r="R94" i="6"/>
  <c r="Q94" i="6"/>
  <c r="P94" i="6"/>
  <c r="O94" i="6"/>
  <c r="M94" i="6"/>
  <c r="L94" i="6"/>
  <c r="K94" i="6"/>
  <c r="J94" i="6"/>
  <c r="H94" i="6"/>
  <c r="G94" i="6"/>
  <c r="W93" i="6"/>
  <c r="V93" i="6"/>
  <c r="U93" i="6"/>
  <c r="T93" i="6"/>
  <c r="R93" i="6"/>
  <c r="Q93" i="6"/>
  <c r="P93" i="6"/>
  <c r="O93" i="6"/>
  <c r="M93" i="6"/>
  <c r="L93" i="6"/>
  <c r="K93" i="6"/>
  <c r="J93" i="6"/>
  <c r="H93" i="6"/>
  <c r="G93" i="6"/>
  <c r="W92" i="6"/>
  <c r="V92" i="6"/>
  <c r="U92" i="6"/>
  <c r="T92" i="6"/>
  <c r="R92" i="6"/>
  <c r="Q92" i="6"/>
  <c r="P92" i="6"/>
  <c r="O92" i="6"/>
  <c r="M92" i="6"/>
  <c r="L92" i="6"/>
  <c r="K92" i="6"/>
  <c r="J92" i="6"/>
  <c r="H92" i="6"/>
  <c r="G92" i="6"/>
  <c r="W91" i="6"/>
  <c r="V91" i="6"/>
  <c r="U91" i="6"/>
  <c r="T91" i="6"/>
  <c r="R91" i="6"/>
  <c r="Q91" i="6"/>
  <c r="P91" i="6"/>
  <c r="O91" i="6"/>
  <c r="M91" i="6"/>
  <c r="L91" i="6"/>
  <c r="K91" i="6"/>
  <c r="J91" i="6"/>
  <c r="H91" i="6"/>
  <c r="G91" i="6"/>
  <c r="W90" i="6"/>
  <c r="V90" i="6"/>
  <c r="U90" i="6"/>
  <c r="T90" i="6"/>
  <c r="R90" i="6"/>
  <c r="Q90" i="6"/>
  <c r="P90" i="6"/>
  <c r="O90" i="6"/>
  <c r="M90" i="6"/>
  <c r="L90" i="6"/>
  <c r="K90" i="6"/>
  <c r="J90" i="6"/>
  <c r="H90" i="6"/>
  <c r="G90" i="6"/>
  <c r="W89" i="6"/>
  <c r="V89" i="6"/>
  <c r="U89" i="6"/>
  <c r="T89" i="6"/>
  <c r="R89" i="6"/>
  <c r="Q89" i="6"/>
  <c r="P89" i="6"/>
  <c r="O89" i="6"/>
  <c r="M89" i="6"/>
  <c r="L89" i="6"/>
  <c r="K89" i="6"/>
  <c r="J89" i="6"/>
  <c r="H89" i="6"/>
  <c r="G89" i="6"/>
  <c r="W88" i="6"/>
  <c r="V88" i="6"/>
  <c r="U88" i="6"/>
  <c r="T88" i="6"/>
  <c r="R88" i="6"/>
  <c r="Q88" i="6"/>
  <c r="P88" i="6"/>
  <c r="O88" i="6"/>
  <c r="M88" i="6"/>
  <c r="L88" i="6"/>
  <c r="K88" i="6"/>
  <c r="J88" i="6"/>
  <c r="H88" i="6"/>
  <c r="G88" i="6"/>
  <c r="W87" i="6"/>
  <c r="V87" i="6"/>
  <c r="U87" i="6"/>
  <c r="T87" i="6"/>
  <c r="R87" i="6"/>
  <c r="Q87" i="6"/>
  <c r="P87" i="6"/>
  <c r="O87" i="6"/>
  <c r="M87" i="6"/>
  <c r="L87" i="6"/>
  <c r="K87" i="6"/>
  <c r="J87" i="6"/>
  <c r="H87" i="6"/>
  <c r="G87" i="6"/>
  <c r="W86" i="6"/>
  <c r="V86" i="6"/>
  <c r="U86" i="6"/>
  <c r="T86" i="6"/>
  <c r="R86" i="6"/>
  <c r="Q86" i="6"/>
  <c r="P86" i="6"/>
  <c r="O86" i="6"/>
  <c r="M86" i="6"/>
  <c r="L86" i="6"/>
  <c r="K86" i="6"/>
  <c r="J86" i="6"/>
  <c r="H86" i="6"/>
  <c r="G86" i="6"/>
  <c r="W85" i="6"/>
  <c r="V85" i="6"/>
  <c r="U85" i="6"/>
  <c r="T85" i="6"/>
  <c r="R85" i="6"/>
  <c r="Q85" i="6"/>
  <c r="P85" i="6"/>
  <c r="O85" i="6"/>
  <c r="M85" i="6"/>
  <c r="L85" i="6"/>
  <c r="K85" i="6"/>
  <c r="J85" i="6"/>
  <c r="H85" i="6"/>
  <c r="G85" i="6"/>
  <c r="W84" i="6"/>
  <c r="V84" i="6"/>
  <c r="U84" i="6"/>
  <c r="T84" i="6"/>
  <c r="R84" i="6"/>
  <c r="Q84" i="6"/>
  <c r="P84" i="6"/>
  <c r="O84" i="6"/>
  <c r="M84" i="6"/>
  <c r="L84" i="6"/>
  <c r="K84" i="6"/>
  <c r="J84" i="6"/>
  <c r="H84" i="6"/>
  <c r="G84" i="6"/>
  <c r="W82" i="6"/>
  <c r="V82" i="6"/>
  <c r="U82" i="6"/>
  <c r="T82" i="6"/>
  <c r="R82" i="6"/>
  <c r="Q82" i="6"/>
  <c r="P82" i="6"/>
  <c r="O82" i="6"/>
  <c r="M82" i="6"/>
  <c r="L82" i="6"/>
  <c r="K82" i="6"/>
  <c r="J82" i="6"/>
  <c r="H82" i="6"/>
  <c r="G82" i="6"/>
  <c r="W81" i="6"/>
  <c r="V81" i="6"/>
  <c r="U81" i="6"/>
  <c r="T81" i="6"/>
  <c r="R81" i="6"/>
  <c r="Q81" i="6"/>
  <c r="P81" i="6"/>
  <c r="O81" i="6"/>
  <c r="M81" i="6"/>
  <c r="L81" i="6"/>
  <c r="K81" i="6"/>
  <c r="J81" i="6"/>
  <c r="H81" i="6"/>
  <c r="G81" i="6"/>
  <c r="W80" i="6"/>
  <c r="V80" i="6"/>
  <c r="U80" i="6"/>
  <c r="T80" i="6"/>
  <c r="R80" i="6"/>
  <c r="Q80" i="6"/>
  <c r="P80" i="6"/>
  <c r="O80" i="6"/>
  <c r="M80" i="6"/>
  <c r="L80" i="6"/>
  <c r="K80" i="6"/>
  <c r="J80" i="6"/>
  <c r="H80" i="6"/>
  <c r="G80" i="6"/>
  <c r="W79" i="6"/>
  <c r="V79" i="6"/>
  <c r="U79" i="6"/>
  <c r="T79" i="6"/>
  <c r="R79" i="6"/>
  <c r="Q79" i="6"/>
  <c r="P79" i="6"/>
  <c r="O79" i="6"/>
  <c r="M79" i="6"/>
  <c r="L79" i="6"/>
  <c r="K79" i="6"/>
  <c r="J79" i="6"/>
  <c r="H79" i="6"/>
  <c r="G79" i="6"/>
  <c r="W78" i="6"/>
  <c r="V78" i="6"/>
  <c r="U78" i="6"/>
  <c r="T78" i="6"/>
  <c r="R78" i="6"/>
  <c r="Q78" i="6"/>
  <c r="P78" i="6"/>
  <c r="O78" i="6"/>
  <c r="M78" i="6"/>
  <c r="L78" i="6"/>
  <c r="K78" i="6"/>
  <c r="J78" i="6"/>
  <c r="H78" i="6"/>
  <c r="G78" i="6"/>
  <c r="W77" i="6"/>
  <c r="V77" i="6"/>
  <c r="U77" i="6"/>
  <c r="T77" i="6"/>
  <c r="R77" i="6"/>
  <c r="Q77" i="6"/>
  <c r="P77" i="6"/>
  <c r="O77" i="6"/>
  <c r="M77" i="6"/>
  <c r="L77" i="6"/>
  <c r="K77" i="6"/>
  <c r="J77" i="6"/>
  <c r="H77" i="6"/>
  <c r="G77" i="6"/>
  <c r="W76" i="6"/>
  <c r="V76" i="6"/>
  <c r="U76" i="6"/>
  <c r="T76" i="6"/>
  <c r="R76" i="6"/>
  <c r="Q76" i="6"/>
  <c r="P76" i="6"/>
  <c r="O76" i="6"/>
  <c r="M76" i="6"/>
  <c r="L76" i="6"/>
  <c r="K76" i="6"/>
  <c r="J76" i="6"/>
  <c r="H76" i="6"/>
  <c r="G76" i="6"/>
  <c r="W75" i="6"/>
  <c r="V75" i="6"/>
  <c r="U75" i="6"/>
  <c r="T75" i="6"/>
  <c r="R75" i="6"/>
  <c r="Q75" i="6"/>
  <c r="P75" i="6"/>
  <c r="O75" i="6"/>
  <c r="M75" i="6"/>
  <c r="L75" i="6"/>
  <c r="K75" i="6"/>
  <c r="J75" i="6"/>
  <c r="H75" i="6"/>
  <c r="G75" i="6"/>
  <c r="W74" i="6"/>
  <c r="V74" i="6"/>
  <c r="U74" i="6"/>
  <c r="T74" i="6"/>
  <c r="R74" i="6"/>
  <c r="Q74" i="6"/>
  <c r="P74" i="6"/>
  <c r="O74" i="6"/>
  <c r="M74" i="6"/>
  <c r="L74" i="6"/>
  <c r="K74" i="6"/>
  <c r="J74" i="6"/>
  <c r="H74" i="6"/>
  <c r="G74" i="6"/>
  <c r="W73" i="6"/>
  <c r="V73" i="6"/>
  <c r="U73" i="6"/>
  <c r="T73" i="6"/>
  <c r="R73" i="6"/>
  <c r="Q73" i="6"/>
  <c r="P73" i="6"/>
  <c r="O73" i="6"/>
  <c r="M73" i="6"/>
  <c r="L73" i="6"/>
  <c r="K73" i="6"/>
  <c r="J73" i="6"/>
  <c r="H73" i="6"/>
  <c r="G73" i="6"/>
  <c r="W72" i="6"/>
  <c r="V72" i="6"/>
  <c r="U72" i="6"/>
  <c r="T72" i="6"/>
  <c r="R72" i="6"/>
  <c r="Q72" i="6"/>
  <c r="P72" i="6"/>
  <c r="O72" i="6"/>
  <c r="M72" i="6"/>
  <c r="L72" i="6"/>
  <c r="K72" i="6"/>
  <c r="J72" i="6"/>
  <c r="H72" i="6"/>
  <c r="G72" i="6"/>
  <c r="W71" i="6"/>
  <c r="V71" i="6"/>
  <c r="U71" i="6"/>
  <c r="T71" i="6"/>
  <c r="R71" i="6"/>
  <c r="Q71" i="6"/>
  <c r="P71" i="6"/>
  <c r="O71" i="6"/>
  <c r="M71" i="6"/>
  <c r="L71" i="6"/>
  <c r="K71" i="6"/>
  <c r="J71" i="6"/>
  <c r="H71" i="6"/>
  <c r="G71" i="6"/>
  <c r="W70" i="6"/>
  <c r="V70" i="6"/>
  <c r="U70" i="6"/>
  <c r="T70" i="6"/>
  <c r="R70" i="6"/>
  <c r="Q70" i="6"/>
  <c r="P70" i="6"/>
  <c r="O70" i="6"/>
  <c r="M70" i="6"/>
  <c r="L70" i="6"/>
  <c r="K70" i="6"/>
  <c r="J70" i="6"/>
  <c r="H70" i="6"/>
  <c r="G70" i="6"/>
  <c r="W69" i="6"/>
  <c r="V69" i="6"/>
  <c r="U69" i="6"/>
  <c r="T69" i="6"/>
  <c r="R69" i="6"/>
  <c r="Q69" i="6"/>
  <c r="P69" i="6"/>
  <c r="O69" i="6"/>
  <c r="M69" i="6"/>
  <c r="L69" i="6"/>
  <c r="K69" i="6"/>
  <c r="J69" i="6"/>
  <c r="H69" i="6"/>
  <c r="G69" i="6"/>
  <c r="W68" i="6"/>
  <c r="V68" i="6"/>
  <c r="U68" i="6"/>
  <c r="T68" i="6"/>
  <c r="R68" i="6"/>
  <c r="Q68" i="6"/>
  <c r="P68" i="6"/>
  <c r="O68" i="6"/>
  <c r="M68" i="6"/>
  <c r="L68" i="6"/>
  <c r="K68" i="6"/>
  <c r="J68" i="6"/>
  <c r="H68" i="6"/>
  <c r="G68" i="6"/>
  <c r="W66" i="6"/>
  <c r="V66" i="6"/>
  <c r="U66" i="6"/>
  <c r="T66" i="6"/>
  <c r="R66" i="6"/>
  <c r="Q66" i="6"/>
  <c r="P66" i="6"/>
  <c r="O66" i="6"/>
  <c r="M66" i="6"/>
  <c r="L66" i="6"/>
  <c r="K66" i="6"/>
  <c r="J66" i="6"/>
  <c r="H66" i="6"/>
  <c r="G66" i="6"/>
  <c r="W65" i="6"/>
  <c r="V65" i="6"/>
  <c r="U65" i="6"/>
  <c r="T65" i="6"/>
  <c r="R65" i="6"/>
  <c r="Q65" i="6"/>
  <c r="P65" i="6"/>
  <c r="O65" i="6"/>
  <c r="M65" i="6"/>
  <c r="L65" i="6"/>
  <c r="K65" i="6"/>
  <c r="J65" i="6"/>
  <c r="H65" i="6"/>
  <c r="G65" i="6"/>
  <c r="W64" i="6"/>
  <c r="V64" i="6"/>
  <c r="U64" i="6"/>
  <c r="T64" i="6"/>
  <c r="R64" i="6"/>
  <c r="Q64" i="6"/>
  <c r="P64" i="6"/>
  <c r="O64" i="6"/>
  <c r="M64" i="6"/>
  <c r="L64" i="6"/>
  <c r="K64" i="6"/>
  <c r="J64" i="6"/>
  <c r="H64" i="6"/>
  <c r="G64" i="6"/>
  <c r="W63" i="6"/>
  <c r="V63" i="6"/>
  <c r="U63" i="6"/>
  <c r="T63" i="6"/>
  <c r="R63" i="6"/>
  <c r="Q63" i="6"/>
  <c r="P63" i="6"/>
  <c r="O63" i="6"/>
  <c r="M63" i="6"/>
  <c r="L63" i="6"/>
  <c r="K63" i="6"/>
  <c r="J63" i="6"/>
  <c r="H63" i="6"/>
  <c r="G63" i="6"/>
  <c r="W62" i="6"/>
  <c r="V62" i="6"/>
  <c r="U62" i="6"/>
  <c r="T62" i="6"/>
  <c r="R62" i="6"/>
  <c r="Q62" i="6"/>
  <c r="P62" i="6"/>
  <c r="O62" i="6"/>
  <c r="M62" i="6"/>
  <c r="L62" i="6"/>
  <c r="K62" i="6"/>
  <c r="J62" i="6"/>
  <c r="H62" i="6"/>
  <c r="G62" i="6"/>
  <c r="W61" i="6"/>
  <c r="V61" i="6"/>
  <c r="U61" i="6"/>
  <c r="T61" i="6"/>
  <c r="R61" i="6"/>
  <c r="Q61" i="6"/>
  <c r="P61" i="6"/>
  <c r="O61" i="6"/>
  <c r="M61" i="6"/>
  <c r="L61" i="6"/>
  <c r="K61" i="6"/>
  <c r="J61" i="6"/>
  <c r="H61" i="6"/>
  <c r="G61" i="6"/>
  <c r="W60" i="6"/>
  <c r="V60" i="6"/>
  <c r="U60" i="6"/>
  <c r="T60" i="6"/>
  <c r="R60" i="6"/>
  <c r="Q60" i="6"/>
  <c r="P60" i="6"/>
  <c r="O60" i="6"/>
  <c r="M60" i="6"/>
  <c r="L60" i="6"/>
  <c r="K60" i="6"/>
  <c r="J60" i="6"/>
  <c r="H60" i="6"/>
  <c r="G60" i="6"/>
  <c r="W59" i="6"/>
  <c r="V59" i="6"/>
  <c r="U59" i="6"/>
  <c r="T59" i="6"/>
  <c r="R59" i="6"/>
  <c r="Q59" i="6"/>
  <c r="P59" i="6"/>
  <c r="O59" i="6"/>
  <c r="M59" i="6"/>
  <c r="L59" i="6"/>
  <c r="K59" i="6"/>
  <c r="J59" i="6"/>
  <c r="H59" i="6"/>
  <c r="G59" i="6"/>
  <c r="W58" i="6"/>
  <c r="V58" i="6"/>
  <c r="U58" i="6"/>
  <c r="T58" i="6"/>
  <c r="R58" i="6"/>
  <c r="Q58" i="6"/>
  <c r="P58" i="6"/>
  <c r="O58" i="6"/>
  <c r="M58" i="6"/>
  <c r="L58" i="6"/>
  <c r="K58" i="6"/>
  <c r="J58" i="6"/>
  <c r="H58" i="6"/>
  <c r="G58" i="6"/>
  <c r="W57" i="6"/>
  <c r="V57" i="6"/>
  <c r="U57" i="6"/>
  <c r="T57" i="6"/>
  <c r="R57" i="6"/>
  <c r="Q57" i="6"/>
  <c r="P57" i="6"/>
  <c r="O57" i="6"/>
  <c r="M57" i="6"/>
  <c r="L57" i="6"/>
  <c r="K57" i="6"/>
  <c r="J57" i="6"/>
  <c r="H57" i="6"/>
  <c r="G57" i="6"/>
  <c r="W56" i="6"/>
  <c r="V56" i="6"/>
  <c r="U56" i="6"/>
  <c r="T56" i="6"/>
  <c r="R56" i="6"/>
  <c r="Q56" i="6"/>
  <c r="P56" i="6"/>
  <c r="O56" i="6"/>
  <c r="M56" i="6"/>
  <c r="L56" i="6"/>
  <c r="K56" i="6"/>
  <c r="J56" i="6"/>
  <c r="H56" i="6"/>
  <c r="G56" i="6"/>
  <c r="W55" i="6"/>
  <c r="V55" i="6"/>
  <c r="U55" i="6"/>
  <c r="T55" i="6"/>
  <c r="R55" i="6"/>
  <c r="Q55" i="6"/>
  <c r="P55" i="6"/>
  <c r="O55" i="6"/>
  <c r="M55" i="6"/>
  <c r="L55" i="6"/>
  <c r="K55" i="6"/>
  <c r="J55" i="6"/>
  <c r="H55" i="6"/>
  <c r="G55" i="6"/>
  <c r="W54" i="6"/>
  <c r="V54" i="6"/>
  <c r="U54" i="6"/>
  <c r="T54" i="6"/>
  <c r="R54" i="6"/>
  <c r="Q54" i="6"/>
  <c r="P54" i="6"/>
  <c r="O54" i="6"/>
  <c r="M54" i="6"/>
  <c r="L54" i="6"/>
  <c r="K54" i="6"/>
  <c r="J54" i="6"/>
  <c r="H54" i="6"/>
  <c r="G54" i="6"/>
  <c r="W53" i="6"/>
  <c r="V53" i="6"/>
  <c r="U53" i="6"/>
  <c r="T53" i="6"/>
  <c r="R53" i="6"/>
  <c r="Q53" i="6"/>
  <c r="P53" i="6"/>
  <c r="O53" i="6"/>
  <c r="M53" i="6"/>
  <c r="L53" i="6"/>
  <c r="K53" i="6"/>
  <c r="J53" i="6"/>
  <c r="H53" i="6"/>
  <c r="G53" i="6"/>
  <c r="W52" i="6"/>
  <c r="V52" i="6"/>
  <c r="U52" i="6"/>
  <c r="T52" i="6"/>
  <c r="R52" i="6"/>
  <c r="Q52" i="6"/>
  <c r="P52" i="6"/>
  <c r="O52" i="6"/>
  <c r="M52" i="6"/>
  <c r="L52" i="6"/>
  <c r="K52" i="6"/>
  <c r="J52" i="6"/>
  <c r="H52" i="6"/>
  <c r="G52" i="6"/>
  <c r="W50" i="6"/>
  <c r="V50" i="6"/>
  <c r="U50" i="6"/>
  <c r="T50" i="6"/>
  <c r="R50" i="6"/>
  <c r="Q50" i="6"/>
  <c r="P50" i="6"/>
  <c r="O50" i="6"/>
  <c r="M50" i="6"/>
  <c r="L50" i="6"/>
  <c r="K50" i="6"/>
  <c r="J50" i="6"/>
  <c r="H50" i="6"/>
  <c r="G50" i="6"/>
  <c r="W49" i="6"/>
  <c r="V49" i="6"/>
  <c r="U49" i="6"/>
  <c r="T49" i="6"/>
  <c r="R49" i="6"/>
  <c r="Q49" i="6"/>
  <c r="P49" i="6"/>
  <c r="O49" i="6"/>
  <c r="M49" i="6"/>
  <c r="L49" i="6"/>
  <c r="K49" i="6"/>
  <c r="J49" i="6"/>
  <c r="H49" i="6"/>
  <c r="G49" i="6"/>
  <c r="W48" i="6"/>
  <c r="V48" i="6"/>
  <c r="U48" i="6"/>
  <c r="T48" i="6"/>
  <c r="R48" i="6"/>
  <c r="Q48" i="6"/>
  <c r="P48" i="6"/>
  <c r="O48" i="6"/>
  <c r="M48" i="6"/>
  <c r="L48" i="6"/>
  <c r="K48" i="6"/>
  <c r="J48" i="6"/>
  <c r="H48" i="6"/>
  <c r="G48" i="6"/>
  <c r="W47" i="6"/>
  <c r="V47" i="6"/>
  <c r="U47" i="6"/>
  <c r="T47" i="6"/>
  <c r="R47" i="6"/>
  <c r="Q47" i="6"/>
  <c r="P47" i="6"/>
  <c r="O47" i="6"/>
  <c r="M47" i="6"/>
  <c r="L47" i="6"/>
  <c r="K47" i="6"/>
  <c r="J47" i="6"/>
  <c r="H47" i="6"/>
  <c r="G47" i="6"/>
  <c r="W46" i="6"/>
  <c r="V46" i="6"/>
  <c r="U46" i="6"/>
  <c r="T46" i="6"/>
  <c r="R46" i="6"/>
  <c r="Q46" i="6"/>
  <c r="P46" i="6"/>
  <c r="O46" i="6"/>
  <c r="M46" i="6"/>
  <c r="L46" i="6"/>
  <c r="K46" i="6"/>
  <c r="J46" i="6"/>
  <c r="H46" i="6"/>
  <c r="G46" i="6"/>
  <c r="W45" i="6"/>
  <c r="V45" i="6"/>
  <c r="U45" i="6"/>
  <c r="T45" i="6"/>
  <c r="R45" i="6"/>
  <c r="Q45" i="6"/>
  <c r="P45" i="6"/>
  <c r="O45" i="6"/>
  <c r="M45" i="6"/>
  <c r="L45" i="6"/>
  <c r="K45" i="6"/>
  <c r="J45" i="6"/>
  <c r="H45" i="6"/>
  <c r="G45" i="6"/>
  <c r="W44" i="6"/>
  <c r="V44" i="6"/>
  <c r="U44" i="6"/>
  <c r="T44" i="6"/>
  <c r="R44" i="6"/>
  <c r="Q44" i="6"/>
  <c r="P44" i="6"/>
  <c r="O44" i="6"/>
  <c r="M44" i="6"/>
  <c r="L44" i="6"/>
  <c r="K44" i="6"/>
  <c r="J44" i="6"/>
  <c r="H44" i="6"/>
  <c r="G44" i="6"/>
  <c r="W43" i="6"/>
  <c r="V43" i="6"/>
  <c r="U43" i="6"/>
  <c r="T43" i="6"/>
  <c r="R43" i="6"/>
  <c r="Q43" i="6"/>
  <c r="P43" i="6"/>
  <c r="O43" i="6"/>
  <c r="M43" i="6"/>
  <c r="L43" i="6"/>
  <c r="K43" i="6"/>
  <c r="J43" i="6"/>
  <c r="H43" i="6"/>
  <c r="G43" i="6"/>
  <c r="W42" i="6"/>
  <c r="V42" i="6"/>
  <c r="U42" i="6"/>
  <c r="T42" i="6"/>
  <c r="R42" i="6"/>
  <c r="Q42" i="6"/>
  <c r="P42" i="6"/>
  <c r="O42" i="6"/>
  <c r="M42" i="6"/>
  <c r="L42" i="6"/>
  <c r="K42" i="6"/>
  <c r="J42" i="6"/>
  <c r="H42" i="6"/>
  <c r="G42" i="6"/>
  <c r="W41" i="6"/>
  <c r="V41" i="6"/>
  <c r="U41" i="6"/>
  <c r="T41" i="6"/>
  <c r="R41" i="6"/>
  <c r="Q41" i="6"/>
  <c r="P41" i="6"/>
  <c r="O41" i="6"/>
  <c r="M41" i="6"/>
  <c r="L41" i="6"/>
  <c r="K41" i="6"/>
  <c r="J41" i="6"/>
  <c r="H41" i="6"/>
  <c r="G41" i="6"/>
  <c r="W40" i="6"/>
  <c r="V40" i="6"/>
  <c r="U40" i="6"/>
  <c r="T40" i="6"/>
  <c r="R40" i="6"/>
  <c r="Q40" i="6"/>
  <c r="P40" i="6"/>
  <c r="O40" i="6"/>
  <c r="M40" i="6"/>
  <c r="L40" i="6"/>
  <c r="K40" i="6"/>
  <c r="J40" i="6"/>
  <c r="H40" i="6"/>
  <c r="G40" i="6"/>
  <c r="W39" i="6"/>
  <c r="V39" i="6"/>
  <c r="U39" i="6"/>
  <c r="T39" i="6"/>
  <c r="R39" i="6"/>
  <c r="Q39" i="6"/>
  <c r="P39" i="6"/>
  <c r="O39" i="6"/>
  <c r="M39" i="6"/>
  <c r="L39" i="6"/>
  <c r="K39" i="6"/>
  <c r="J39" i="6"/>
  <c r="H39" i="6"/>
  <c r="G39" i="6"/>
  <c r="W38" i="6"/>
  <c r="V38" i="6"/>
  <c r="U38" i="6"/>
  <c r="T38" i="6"/>
  <c r="R38" i="6"/>
  <c r="Q38" i="6"/>
  <c r="P38" i="6"/>
  <c r="O38" i="6"/>
  <c r="M38" i="6"/>
  <c r="L38" i="6"/>
  <c r="K38" i="6"/>
  <c r="J38" i="6"/>
  <c r="H38" i="6"/>
  <c r="G38" i="6"/>
  <c r="W37" i="6"/>
  <c r="V37" i="6"/>
  <c r="U37" i="6"/>
  <c r="T37" i="6"/>
  <c r="R37" i="6"/>
  <c r="Q37" i="6"/>
  <c r="P37" i="6"/>
  <c r="O37" i="6"/>
  <c r="M37" i="6"/>
  <c r="L37" i="6"/>
  <c r="K37" i="6"/>
  <c r="J37" i="6"/>
  <c r="H37" i="6"/>
  <c r="G37" i="6"/>
  <c r="W36" i="6"/>
  <c r="V36" i="6"/>
  <c r="U36" i="6"/>
  <c r="T36" i="6"/>
  <c r="R36" i="6"/>
  <c r="Q36" i="6"/>
  <c r="P36" i="6"/>
  <c r="O36" i="6"/>
  <c r="M36" i="6"/>
  <c r="L36" i="6"/>
  <c r="K36" i="6"/>
  <c r="J36" i="6"/>
  <c r="H36" i="6"/>
  <c r="G36" i="6"/>
  <c r="W34" i="6"/>
  <c r="V34" i="6"/>
  <c r="U34" i="6"/>
  <c r="T34" i="6"/>
  <c r="R34" i="6"/>
  <c r="Q34" i="6"/>
  <c r="P34" i="6"/>
  <c r="O34" i="6"/>
  <c r="M34" i="6"/>
  <c r="L34" i="6"/>
  <c r="K34" i="6"/>
  <c r="J34" i="6"/>
  <c r="H34" i="6"/>
  <c r="G34" i="6"/>
  <c r="W33" i="6"/>
  <c r="V33" i="6"/>
  <c r="U33" i="6"/>
  <c r="T33" i="6"/>
  <c r="R33" i="6"/>
  <c r="Q33" i="6"/>
  <c r="P33" i="6"/>
  <c r="O33" i="6"/>
  <c r="M33" i="6"/>
  <c r="L33" i="6"/>
  <c r="K33" i="6"/>
  <c r="J33" i="6"/>
  <c r="H33" i="6"/>
  <c r="G33" i="6"/>
  <c r="W32" i="6"/>
  <c r="V32" i="6"/>
  <c r="U32" i="6"/>
  <c r="T32" i="6"/>
  <c r="R32" i="6"/>
  <c r="Q32" i="6"/>
  <c r="P32" i="6"/>
  <c r="O32" i="6"/>
  <c r="M32" i="6"/>
  <c r="L32" i="6"/>
  <c r="K32" i="6"/>
  <c r="J32" i="6"/>
  <c r="H32" i="6"/>
  <c r="G32" i="6"/>
  <c r="W31" i="6"/>
  <c r="V31" i="6"/>
  <c r="U31" i="6"/>
  <c r="T31" i="6"/>
  <c r="R31" i="6"/>
  <c r="Q31" i="6"/>
  <c r="P31" i="6"/>
  <c r="O31" i="6"/>
  <c r="M31" i="6"/>
  <c r="L31" i="6"/>
  <c r="K31" i="6"/>
  <c r="J31" i="6"/>
  <c r="H31" i="6"/>
  <c r="G31" i="6"/>
  <c r="W30" i="6"/>
  <c r="V30" i="6"/>
  <c r="U30" i="6"/>
  <c r="T30" i="6"/>
  <c r="R30" i="6"/>
  <c r="Q30" i="6"/>
  <c r="P30" i="6"/>
  <c r="O30" i="6"/>
  <c r="M30" i="6"/>
  <c r="L30" i="6"/>
  <c r="K30" i="6"/>
  <c r="J30" i="6"/>
  <c r="H30" i="6"/>
  <c r="G30" i="6"/>
  <c r="W29" i="6"/>
  <c r="V29" i="6"/>
  <c r="U29" i="6"/>
  <c r="T29" i="6"/>
  <c r="R29" i="6"/>
  <c r="Q29" i="6"/>
  <c r="P29" i="6"/>
  <c r="O29" i="6"/>
  <c r="M29" i="6"/>
  <c r="L29" i="6"/>
  <c r="K29" i="6"/>
  <c r="J29" i="6"/>
  <c r="H29" i="6"/>
  <c r="G29" i="6"/>
  <c r="W28" i="6"/>
  <c r="V28" i="6"/>
  <c r="U28" i="6"/>
  <c r="T28" i="6"/>
  <c r="R28" i="6"/>
  <c r="Q28" i="6"/>
  <c r="P28" i="6"/>
  <c r="O28" i="6"/>
  <c r="M28" i="6"/>
  <c r="L28" i="6"/>
  <c r="K28" i="6"/>
  <c r="J28" i="6"/>
  <c r="H28" i="6"/>
  <c r="G28" i="6"/>
  <c r="W27" i="6"/>
  <c r="V27" i="6"/>
  <c r="U27" i="6"/>
  <c r="T27" i="6"/>
  <c r="R27" i="6"/>
  <c r="Q27" i="6"/>
  <c r="P27" i="6"/>
  <c r="O27" i="6"/>
  <c r="M27" i="6"/>
  <c r="L27" i="6"/>
  <c r="K27" i="6"/>
  <c r="J27" i="6"/>
  <c r="H27" i="6"/>
  <c r="G27" i="6"/>
  <c r="W26" i="6"/>
  <c r="V26" i="6"/>
  <c r="U26" i="6"/>
  <c r="T26" i="6"/>
  <c r="R26" i="6"/>
  <c r="Q26" i="6"/>
  <c r="P26" i="6"/>
  <c r="O26" i="6"/>
  <c r="M26" i="6"/>
  <c r="L26" i="6"/>
  <c r="K26" i="6"/>
  <c r="J26" i="6"/>
  <c r="H26" i="6"/>
  <c r="G26" i="6"/>
  <c r="W25" i="6"/>
  <c r="V25" i="6"/>
  <c r="U25" i="6"/>
  <c r="T25" i="6"/>
  <c r="R25" i="6"/>
  <c r="Q25" i="6"/>
  <c r="P25" i="6"/>
  <c r="O25" i="6"/>
  <c r="M25" i="6"/>
  <c r="L25" i="6"/>
  <c r="K25" i="6"/>
  <c r="J25" i="6"/>
  <c r="H25" i="6"/>
  <c r="G25" i="6"/>
  <c r="W24" i="6"/>
  <c r="V24" i="6"/>
  <c r="U24" i="6"/>
  <c r="T24" i="6"/>
  <c r="R24" i="6"/>
  <c r="Q24" i="6"/>
  <c r="P24" i="6"/>
  <c r="O24" i="6"/>
  <c r="M24" i="6"/>
  <c r="L24" i="6"/>
  <c r="K24" i="6"/>
  <c r="J24" i="6"/>
  <c r="H24" i="6"/>
  <c r="G24" i="6"/>
  <c r="W23" i="6"/>
  <c r="V23" i="6"/>
  <c r="U23" i="6"/>
  <c r="T23" i="6"/>
  <c r="R23" i="6"/>
  <c r="Q23" i="6"/>
  <c r="P23" i="6"/>
  <c r="O23" i="6"/>
  <c r="M23" i="6"/>
  <c r="L23" i="6"/>
  <c r="K23" i="6"/>
  <c r="J23" i="6"/>
  <c r="H23" i="6"/>
  <c r="G23" i="6"/>
  <c r="W22" i="6"/>
  <c r="V22" i="6"/>
  <c r="U22" i="6"/>
  <c r="T22" i="6"/>
  <c r="R22" i="6"/>
  <c r="Q22" i="6"/>
  <c r="P22" i="6"/>
  <c r="O22" i="6"/>
  <c r="M22" i="6"/>
  <c r="L22" i="6"/>
  <c r="K22" i="6"/>
  <c r="J22" i="6"/>
  <c r="H22" i="6"/>
  <c r="G22" i="6"/>
  <c r="W21" i="6"/>
  <c r="V21" i="6"/>
  <c r="U21" i="6"/>
  <c r="T21" i="6"/>
  <c r="R21" i="6"/>
  <c r="Q21" i="6"/>
  <c r="P21" i="6"/>
  <c r="O21" i="6"/>
  <c r="M21" i="6"/>
  <c r="L21" i="6"/>
  <c r="K21" i="6"/>
  <c r="J21" i="6"/>
  <c r="H21" i="6"/>
  <c r="G21" i="6"/>
  <c r="W20" i="6"/>
  <c r="V20" i="6"/>
  <c r="U20" i="6"/>
  <c r="T20" i="6"/>
  <c r="R20" i="6"/>
  <c r="Q20" i="6"/>
  <c r="P20" i="6"/>
  <c r="O20" i="6"/>
  <c r="M20" i="6"/>
  <c r="L20" i="6"/>
  <c r="K20" i="6"/>
  <c r="J20" i="6"/>
  <c r="H20" i="6"/>
  <c r="G20" i="6"/>
  <c r="W18" i="6"/>
  <c r="V18" i="6"/>
  <c r="U18" i="6"/>
  <c r="T18" i="6"/>
  <c r="R18" i="6"/>
  <c r="Q18" i="6"/>
  <c r="P18" i="6"/>
  <c r="O18" i="6"/>
  <c r="M18" i="6"/>
  <c r="L18" i="6"/>
  <c r="K18" i="6"/>
  <c r="J18" i="6"/>
  <c r="H18" i="6"/>
  <c r="G18" i="6"/>
  <c r="W17" i="6"/>
  <c r="V17" i="6"/>
  <c r="U17" i="6"/>
  <c r="T17" i="6"/>
  <c r="R17" i="6"/>
  <c r="Q17" i="6"/>
  <c r="P17" i="6"/>
  <c r="O17" i="6"/>
  <c r="M17" i="6"/>
  <c r="L17" i="6"/>
  <c r="K17" i="6"/>
  <c r="J17" i="6"/>
  <c r="H17" i="6"/>
  <c r="G17" i="6"/>
  <c r="W16" i="6"/>
  <c r="V16" i="6"/>
  <c r="U16" i="6"/>
  <c r="T16" i="6"/>
  <c r="R16" i="6"/>
  <c r="Q16" i="6"/>
  <c r="P16" i="6"/>
  <c r="O16" i="6"/>
  <c r="M16" i="6"/>
  <c r="L16" i="6"/>
  <c r="K16" i="6"/>
  <c r="J16" i="6"/>
  <c r="H16" i="6"/>
  <c r="G16" i="6"/>
  <c r="W15" i="6"/>
  <c r="V15" i="6"/>
  <c r="U15" i="6"/>
  <c r="T15" i="6"/>
  <c r="R15" i="6"/>
  <c r="Q15" i="6"/>
  <c r="P15" i="6"/>
  <c r="O15" i="6"/>
  <c r="M15" i="6"/>
  <c r="L15" i="6"/>
  <c r="K15" i="6"/>
  <c r="J15" i="6"/>
  <c r="H15" i="6"/>
  <c r="G15" i="6"/>
  <c r="W14" i="6"/>
  <c r="V14" i="6"/>
  <c r="U14" i="6"/>
  <c r="T14" i="6"/>
  <c r="R14" i="6"/>
  <c r="Q14" i="6"/>
  <c r="P14" i="6"/>
  <c r="O14" i="6"/>
  <c r="M14" i="6"/>
  <c r="L14" i="6"/>
  <c r="K14" i="6"/>
  <c r="J14" i="6"/>
  <c r="H14" i="6"/>
  <c r="G14" i="6"/>
  <c r="W13" i="6"/>
  <c r="V13" i="6"/>
  <c r="U13" i="6"/>
  <c r="T13" i="6"/>
  <c r="R13" i="6"/>
  <c r="Q13" i="6"/>
  <c r="P13" i="6"/>
  <c r="O13" i="6"/>
  <c r="M13" i="6"/>
  <c r="L13" i="6"/>
  <c r="K13" i="6"/>
  <c r="J13" i="6"/>
  <c r="H13" i="6"/>
  <c r="G13" i="6"/>
  <c r="W12" i="6"/>
  <c r="V12" i="6"/>
  <c r="U12" i="6"/>
  <c r="T12" i="6"/>
  <c r="R12" i="6"/>
  <c r="Q12" i="6"/>
  <c r="P12" i="6"/>
  <c r="O12" i="6"/>
  <c r="M12" i="6"/>
  <c r="L12" i="6"/>
  <c r="K12" i="6"/>
  <c r="J12" i="6"/>
  <c r="H12" i="6"/>
  <c r="G12" i="6"/>
  <c r="W11" i="6"/>
  <c r="V11" i="6"/>
  <c r="U11" i="6"/>
  <c r="T11" i="6"/>
  <c r="R11" i="6"/>
  <c r="Q11" i="6"/>
  <c r="P11" i="6"/>
  <c r="O11" i="6"/>
  <c r="M11" i="6"/>
  <c r="L11" i="6"/>
  <c r="K11" i="6"/>
  <c r="J11" i="6"/>
  <c r="H11" i="6"/>
  <c r="G11" i="6"/>
  <c r="W10" i="6"/>
  <c r="V10" i="6"/>
  <c r="U10" i="6"/>
  <c r="T10" i="6"/>
  <c r="R10" i="6"/>
  <c r="Q10" i="6"/>
  <c r="P10" i="6"/>
  <c r="O10" i="6"/>
  <c r="M10" i="6"/>
  <c r="L10" i="6"/>
  <c r="K10" i="6"/>
  <c r="J10" i="6"/>
  <c r="H10" i="6"/>
  <c r="G10" i="6"/>
  <c r="W9" i="6"/>
  <c r="V9" i="6"/>
  <c r="U9" i="6"/>
  <c r="T9" i="6"/>
  <c r="R9" i="6"/>
  <c r="Q9" i="6"/>
  <c r="P9" i="6"/>
  <c r="O9" i="6"/>
  <c r="M9" i="6"/>
  <c r="L9" i="6"/>
  <c r="K9" i="6"/>
  <c r="J9" i="6"/>
  <c r="H9" i="6"/>
  <c r="G9" i="6"/>
  <c r="W8" i="6"/>
  <c r="V8" i="6"/>
  <c r="U8" i="6"/>
  <c r="T8" i="6"/>
  <c r="R8" i="6"/>
  <c r="Q8" i="6"/>
  <c r="P8" i="6"/>
  <c r="O8" i="6"/>
  <c r="M8" i="6"/>
  <c r="L8" i="6"/>
  <c r="K8" i="6"/>
  <c r="J8" i="6"/>
  <c r="H8" i="6"/>
  <c r="G8" i="6"/>
  <c r="W7" i="6"/>
  <c r="V7" i="6"/>
  <c r="U7" i="6"/>
  <c r="T7" i="6"/>
  <c r="R7" i="6"/>
  <c r="Q7" i="6"/>
  <c r="P7" i="6"/>
  <c r="O7" i="6"/>
  <c r="M7" i="6"/>
  <c r="L7" i="6"/>
  <c r="K7" i="6"/>
  <c r="J7" i="6"/>
  <c r="H7" i="6"/>
  <c r="G7" i="6"/>
  <c r="W6" i="6"/>
  <c r="V6" i="6"/>
  <c r="U6" i="6"/>
  <c r="T6" i="6"/>
  <c r="R6" i="6"/>
  <c r="Q6" i="6"/>
  <c r="P6" i="6"/>
  <c r="O6" i="6"/>
  <c r="M6" i="6"/>
  <c r="L6" i="6"/>
  <c r="K6" i="6"/>
  <c r="J6" i="6"/>
  <c r="H6" i="6"/>
  <c r="G6" i="6"/>
  <c r="W5" i="6"/>
  <c r="V5" i="6"/>
  <c r="U5" i="6"/>
  <c r="T5" i="6"/>
  <c r="R5" i="6"/>
  <c r="Q5" i="6"/>
  <c r="P5" i="6"/>
  <c r="O5" i="6"/>
  <c r="M5" i="6"/>
  <c r="L5" i="6"/>
  <c r="K5" i="6"/>
  <c r="J5" i="6"/>
  <c r="H5" i="6"/>
  <c r="G5" i="6"/>
  <c r="W4" i="6"/>
  <c r="V4" i="6"/>
  <c r="U4" i="6"/>
  <c r="T4" i="6"/>
  <c r="R4" i="6"/>
  <c r="Q4" i="6"/>
  <c r="P4" i="6"/>
  <c r="O4" i="6"/>
  <c r="M4" i="6"/>
  <c r="L4" i="6"/>
  <c r="K4" i="6"/>
  <c r="J4" i="6"/>
  <c r="H4" i="6"/>
  <c r="G4" i="6"/>
  <c r="B101" i="6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85" i="6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69" i="6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53" i="6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37" i="6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21" i="6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6" i="6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5" i="6"/>
  <c r="A179" i="30" l="1"/>
  <c r="A155" i="30"/>
  <c r="A131" i="30"/>
  <c r="A105" i="30"/>
  <c r="H175" i="30"/>
  <c r="H151" i="30"/>
  <c r="H127" i="30"/>
  <c r="H68" i="30"/>
  <c r="H44" i="30"/>
  <c r="H34" i="30"/>
  <c r="H92" i="30"/>
  <c r="H58" i="30"/>
  <c r="H39" i="30"/>
  <c r="I100" i="30"/>
  <c r="H63" i="30"/>
  <c r="H87" i="30"/>
  <c r="H82" i="30"/>
  <c r="G121" i="30"/>
  <c r="G123" i="30" s="1"/>
  <c r="G211" i="30" s="1"/>
  <c r="C104" i="30"/>
  <c r="F7" i="30"/>
  <c r="D8" i="30"/>
  <c r="H175" i="29"/>
  <c r="H151" i="29"/>
  <c r="H127" i="29"/>
  <c r="I100" i="29"/>
  <c r="H68" i="29"/>
  <c r="H87" i="29"/>
  <c r="H63" i="29"/>
  <c r="H92" i="29"/>
  <c r="H82" i="29"/>
  <c r="H58" i="29"/>
  <c r="H44" i="29"/>
  <c r="H39" i="29"/>
  <c r="H34" i="29"/>
  <c r="A131" i="29"/>
  <c r="A179" i="29"/>
  <c r="A155" i="29"/>
  <c r="A105" i="29"/>
  <c r="C103" i="29"/>
  <c r="F121" i="29"/>
  <c r="F123" i="29" s="1"/>
  <c r="F211" i="29" s="1"/>
  <c r="F6" i="29"/>
  <c r="D7" i="29"/>
  <c r="G175" i="27"/>
  <c r="G151" i="27"/>
  <c r="G127" i="27"/>
  <c r="G87" i="27"/>
  <c r="G44" i="27"/>
  <c r="G34" i="27"/>
  <c r="G92" i="27"/>
  <c r="G63" i="27"/>
  <c r="H100" i="27"/>
  <c r="G58" i="27"/>
  <c r="G39" i="27"/>
  <c r="G82" i="27"/>
  <c r="G68" i="27"/>
  <c r="G102" i="27"/>
  <c r="H103" i="27" s="1"/>
  <c r="I104" i="27" s="1"/>
  <c r="J105" i="27" s="1"/>
  <c r="K106" i="27" s="1"/>
  <c r="L107" i="27" s="1"/>
  <c r="M108" i="27" s="1"/>
  <c r="N109" i="27" s="1"/>
  <c r="O110" i="27" s="1"/>
  <c r="P111" i="27" s="1"/>
  <c r="Q112" i="27" s="1"/>
  <c r="R113" i="27" s="1"/>
  <c r="C104" i="27"/>
  <c r="G121" i="27"/>
  <c r="G123" i="27" s="1"/>
  <c r="G211" i="27" s="1"/>
  <c r="F7" i="27"/>
  <c r="D8" i="27"/>
  <c r="A179" i="27"/>
  <c r="A131" i="27"/>
  <c r="A105" i="27"/>
  <c r="A155" i="27"/>
  <c r="H49" i="5"/>
  <c r="I49" i="5" s="1"/>
  <c r="J49" i="5" s="1"/>
  <c r="K49" i="5" s="1"/>
  <c r="L49" i="5" s="1"/>
  <c r="M49" i="5" s="1"/>
  <c r="N49" i="5" s="1"/>
  <c r="O49" i="5" s="1"/>
  <c r="P49" i="5" s="1"/>
  <c r="Q49" i="5" s="1"/>
  <c r="R49" i="5" s="1"/>
  <c r="E78" i="5"/>
  <c r="D94" i="5"/>
  <c r="D97" i="5"/>
  <c r="E73" i="5"/>
  <c r="F73" i="5" s="1"/>
  <c r="G73" i="5" s="1"/>
  <c r="H73" i="5" s="1"/>
  <c r="I73" i="5" s="1"/>
  <c r="J73" i="5" s="1"/>
  <c r="K73" i="5" s="1"/>
  <c r="L73" i="5" s="1"/>
  <c r="M73" i="5" s="1"/>
  <c r="N73" i="5" s="1"/>
  <c r="O73" i="5" s="1"/>
  <c r="P73" i="5" s="1"/>
  <c r="Q73" i="5" s="1"/>
  <c r="R73" i="5" s="1"/>
  <c r="M1" i="22"/>
  <c r="T1" i="22"/>
  <c r="O1" i="22"/>
  <c r="S1" i="22"/>
  <c r="N1" i="22"/>
  <c r="P1" i="22"/>
  <c r="J1" i="22"/>
  <c r="R1" i="22"/>
  <c r="Z18" i="6"/>
  <c r="H121" i="30" l="1"/>
  <c r="H123" i="30" s="1"/>
  <c r="H211" i="30" s="1"/>
  <c r="C105" i="30"/>
  <c r="F8" i="30"/>
  <c r="D9" i="30"/>
  <c r="I175" i="30"/>
  <c r="I151" i="30"/>
  <c r="I127" i="30"/>
  <c r="J100" i="30"/>
  <c r="I82" i="30"/>
  <c r="I87" i="30"/>
  <c r="I68" i="30"/>
  <c r="I34" i="30"/>
  <c r="I63" i="30"/>
  <c r="I44" i="30"/>
  <c r="I92" i="30"/>
  <c r="I39" i="30"/>
  <c r="I58" i="30"/>
  <c r="A180" i="30"/>
  <c r="A156" i="30"/>
  <c r="A132" i="30"/>
  <c r="A106" i="30"/>
  <c r="I175" i="29"/>
  <c r="J100" i="29"/>
  <c r="I68" i="29"/>
  <c r="I44" i="29"/>
  <c r="I34" i="29"/>
  <c r="I87" i="29"/>
  <c r="I63" i="29"/>
  <c r="I127" i="29"/>
  <c r="I82" i="29"/>
  <c r="I58" i="29"/>
  <c r="I151" i="29"/>
  <c r="I39" i="29"/>
  <c r="I92" i="29"/>
  <c r="A180" i="29"/>
  <c r="A156" i="29"/>
  <c r="A106" i="29"/>
  <c r="A132" i="29"/>
  <c r="C104" i="29"/>
  <c r="G121" i="29"/>
  <c r="G123" i="29" s="1"/>
  <c r="G211" i="29" s="1"/>
  <c r="D8" i="29"/>
  <c r="F7" i="29"/>
  <c r="F8" i="27"/>
  <c r="C105" i="27"/>
  <c r="H121" i="27"/>
  <c r="H123" i="27" s="1"/>
  <c r="H211" i="27" s="1"/>
  <c r="D9" i="27"/>
  <c r="A180" i="27"/>
  <c r="A156" i="27"/>
  <c r="A132" i="27"/>
  <c r="A106" i="27"/>
  <c r="H175" i="27"/>
  <c r="H82" i="27"/>
  <c r="H151" i="27"/>
  <c r="H127" i="27"/>
  <c r="H92" i="27"/>
  <c r="H44" i="27"/>
  <c r="H68" i="27"/>
  <c r="H34" i="27"/>
  <c r="H87" i="27"/>
  <c r="I100" i="27"/>
  <c r="H58" i="27"/>
  <c r="H39" i="27"/>
  <c r="H63" i="27"/>
  <c r="H102" i="27"/>
  <c r="I103" i="27" s="1"/>
  <c r="J104" i="27" s="1"/>
  <c r="K105" i="27" s="1"/>
  <c r="L106" i="27" s="1"/>
  <c r="M107" i="27" s="1"/>
  <c r="N108" i="27" s="1"/>
  <c r="O109" i="27" s="1"/>
  <c r="P110" i="27" s="1"/>
  <c r="Q111" i="27" s="1"/>
  <c r="R112" i="27" s="1"/>
  <c r="F97" i="5"/>
  <c r="E97" i="5"/>
  <c r="F78" i="5"/>
  <c r="J19" i="21"/>
  <c r="I19" i="21"/>
  <c r="J18" i="21"/>
  <c r="I18" i="21"/>
  <c r="J17" i="21"/>
  <c r="I17" i="21"/>
  <c r="J16" i="21"/>
  <c r="I16" i="21"/>
  <c r="J15" i="21"/>
  <c r="I15" i="21"/>
  <c r="J14" i="21"/>
  <c r="I14" i="21"/>
  <c r="J13" i="21"/>
  <c r="I13" i="21"/>
  <c r="J12" i="21"/>
  <c r="I12" i="21"/>
  <c r="J11" i="21"/>
  <c r="I11" i="21"/>
  <c r="J10" i="21"/>
  <c r="I10" i="21"/>
  <c r="J9" i="21"/>
  <c r="I9" i="21"/>
  <c r="J8" i="21"/>
  <c r="I8" i="21"/>
  <c r="J7" i="21"/>
  <c r="I7" i="21"/>
  <c r="J6" i="21"/>
  <c r="I6" i="21"/>
  <c r="J5" i="21"/>
  <c r="I5" i="21"/>
  <c r="I5" i="20"/>
  <c r="J5" i="20"/>
  <c r="I6" i="20"/>
  <c r="J6" i="20"/>
  <c r="I7" i="20"/>
  <c r="J7" i="20"/>
  <c r="I8" i="20"/>
  <c r="J8" i="20"/>
  <c r="I9" i="20"/>
  <c r="J9" i="20"/>
  <c r="I10" i="20"/>
  <c r="J10" i="20"/>
  <c r="I11" i="20"/>
  <c r="J11" i="20"/>
  <c r="I12" i="20"/>
  <c r="J12" i="20"/>
  <c r="I13" i="20"/>
  <c r="J13" i="20"/>
  <c r="I14" i="20"/>
  <c r="J14" i="20"/>
  <c r="I15" i="20"/>
  <c r="J15" i="20"/>
  <c r="I16" i="20"/>
  <c r="J16" i="20"/>
  <c r="I17" i="20"/>
  <c r="J17" i="20"/>
  <c r="I18" i="20"/>
  <c r="J18" i="20"/>
  <c r="I19" i="20"/>
  <c r="J19" i="20"/>
  <c r="J19" i="19"/>
  <c r="I19" i="19"/>
  <c r="J18" i="19"/>
  <c r="I18" i="19"/>
  <c r="J17" i="19"/>
  <c r="I17" i="19"/>
  <c r="J16" i="19"/>
  <c r="I16" i="19"/>
  <c r="J15" i="19"/>
  <c r="I15" i="19"/>
  <c r="J14" i="19"/>
  <c r="I14" i="19"/>
  <c r="J13" i="19"/>
  <c r="I13" i="19"/>
  <c r="J12" i="19"/>
  <c r="I12" i="19"/>
  <c r="J11" i="19"/>
  <c r="I11" i="19"/>
  <c r="J10" i="19"/>
  <c r="I10" i="19"/>
  <c r="J9" i="19"/>
  <c r="I9" i="19"/>
  <c r="J8" i="19"/>
  <c r="I8" i="19"/>
  <c r="J7" i="19"/>
  <c r="I7" i="19"/>
  <c r="J6" i="19"/>
  <c r="I6" i="19"/>
  <c r="J5" i="19"/>
  <c r="I5" i="19"/>
  <c r="J19" i="18"/>
  <c r="I19" i="18"/>
  <c r="J18" i="18"/>
  <c r="I18" i="18"/>
  <c r="J17" i="18"/>
  <c r="I17" i="18"/>
  <c r="J16" i="18"/>
  <c r="I16" i="18"/>
  <c r="J15" i="18"/>
  <c r="I15" i="18"/>
  <c r="J14" i="18"/>
  <c r="I14" i="18"/>
  <c r="J13" i="18"/>
  <c r="I13" i="18"/>
  <c r="J12" i="18"/>
  <c r="I12" i="18"/>
  <c r="J11" i="18"/>
  <c r="I11" i="18"/>
  <c r="J10" i="18"/>
  <c r="I10" i="18"/>
  <c r="J9" i="18"/>
  <c r="I9" i="18"/>
  <c r="J8" i="18"/>
  <c r="I8" i="18"/>
  <c r="J7" i="18"/>
  <c r="I7" i="18"/>
  <c r="J6" i="18"/>
  <c r="I6" i="18"/>
  <c r="J5" i="18"/>
  <c r="I5" i="18"/>
  <c r="J19" i="17"/>
  <c r="I19" i="17"/>
  <c r="J18" i="17"/>
  <c r="I18" i="17"/>
  <c r="J17" i="17"/>
  <c r="I17" i="17"/>
  <c r="J16" i="17"/>
  <c r="I16" i="17"/>
  <c r="J15" i="17"/>
  <c r="I15" i="17"/>
  <c r="J14" i="17"/>
  <c r="I14" i="17"/>
  <c r="J13" i="17"/>
  <c r="I13" i="17"/>
  <c r="J12" i="17"/>
  <c r="I12" i="17"/>
  <c r="J11" i="17"/>
  <c r="I11" i="17"/>
  <c r="J10" i="17"/>
  <c r="I10" i="17"/>
  <c r="J9" i="17"/>
  <c r="I9" i="17"/>
  <c r="J8" i="17"/>
  <c r="I8" i="17"/>
  <c r="J7" i="17"/>
  <c r="I7" i="17"/>
  <c r="J6" i="17"/>
  <c r="I6" i="17"/>
  <c r="J5" i="17"/>
  <c r="I5" i="17"/>
  <c r="J19" i="16"/>
  <c r="I19" i="16"/>
  <c r="J18" i="16"/>
  <c r="I18" i="16"/>
  <c r="J17" i="16"/>
  <c r="I17" i="16"/>
  <c r="J16" i="16"/>
  <c r="I16" i="16"/>
  <c r="J15" i="16"/>
  <c r="I15" i="16"/>
  <c r="J14" i="16"/>
  <c r="I14" i="16"/>
  <c r="J13" i="16"/>
  <c r="I13" i="16"/>
  <c r="J12" i="16"/>
  <c r="I12" i="16"/>
  <c r="J11" i="16"/>
  <c r="I11" i="16"/>
  <c r="J10" i="16"/>
  <c r="I10" i="16"/>
  <c r="J9" i="16"/>
  <c r="I9" i="16"/>
  <c r="J8" i="16"/>
  <c r="I8" i="16"/>
  <c r="J7" i="16"/>
  <c r="I7" i="16"/>
  <c r="J6" i="16"/>
  <c r="I6" i="16"/>
  <c r="J5" i="16"/>
  <c r="I5" i="16"/>
  <c r="L5" i="16"/>
  <c r="E20" i="6" s="1"/>
  <c r="N5" i="16"/>
  <c r="F20" i="6" s="1"/>
  <c r="L6" i="16"/>
  <c r="E21" i="6" s="1"/>
  <c r="N6" i="16"/>
  <c r="F21" i="6" s="1"/>
  <c r="L7" i="16"/>
  <c r="E22" i="6" s="1"/>
  <c r="N7" i="16"/>
  <c r="F22" i="6" s="1"/>
  <c r="L8" i="16"/>
  <c r="E23" i="6" s="1"/>
  <c r="N8" i="16"/>
  <c r="F23" i="6" s="1"/>
  <c r="L9" i="16"/>
  <c r="E24" i="6" s="1"/>
  <c r="N9" i="16"/>
  <c r="F24" i="6" s="1"/>
  <c r="L10" i="16"/>
  <c r="E25" i="6" s="1"/>
  <c r="N10" i="16"/>
  <c r="F25" i="6" s="1"/>
  <c r="L11" i="16"/>
  <c r="E26" i="6" s="1"/>
  <c r="N11" i="16"/>
  <c r="F26" i="6" s="1"/>
  <c r="L12" i="16"/>
  <c r="E27" i="6" s="1"/>
  <c r="N12" i="16"/>
  <c r="F27" i="6" s="1"/>
  <c r="L13" i="16"/>
  <c r="E28" i="6" s="1"/>
  <c r="N13" i="16"/>
  <c r="F28" i="6" s="1"/>
  <c r="L14" i="16"/>
  <c r="E29" i="6" s="1"/>
  <c r="N14" i="16"/>
  <c r="F29" i="6" s="1"/>
  <c r="L15" i="16"/>
  <c r="E30" i="6" s="1"/>
  <c r="N15" i="16"/>
  <c r="F30" i="6" s="1"/>
  <c r="L16" i="16"/>
  <c r="E31" i="6" s="1"/>
  <c r="N16" i="16"/>
  <c r="F31" i="6" s="1"/>
  <c r="L17" i="16"/>
  <c r="E32" i="6" s="1"/>
  <c r="N17" i="16"/>
  <c r="F32" i="6" s="1"/>
  <c r="L18" i="16"/>
  <c r="E33" i="6" s="1"/>
  <c r="N18" i="16"/>
  <c r="F33" i="6" s="1"/>
  <c r="L19" i="16"/>
  <c r="N19" i="16"/>
  <c r="F34" i="6" s="1"/>
  <c r="J19" i="15"/>
  <c r="I19" i="15"/>
  <c r="J18" i="15"/>
  <c r="I18" i="15"/>
  <c r="J17" i="15"/>
  <c r="I17" i="15"/>
  <c r="J16" i="15"/>
  <c r="I16" i="15"/>
  <c r="J15" i="15"/>
  <c r="I15" i="15"/>
  <c r="J14" i="15"/>
  <c r="I14" i="15"/>
  <c r="J13" i="15"/>
  <c r="I13" i="15"/>
  <c r="J12" i="15"/>
  <c r="I12" i="15"/>
  <c r="J11" i="15"/>
  <c r="I11" i="15"/>
  <c r="J10" i="15"/>
  <c r="I10" i="15"/>
  <c r="J9" i="15"/>
  <c r="I9" i="15"/>
  <c r="J8" i="15"/>
  <c r="I8" i="15"/>
  <c r="J7" i="15"/>
  <c r="I7" i="15"/>
  <c r="J6" i="15"/>
  <c r="I6" i="15"/>
  <c r="J5" i="15"/>
  <c r="I5" i="15"/>
  <c r="N19" i="21"/>
  <c r="F114" i="6" s="1"/>
  <c r="L19" i="21"/>
  <c r="E114" i="6" s="1"/>
  <c r="N18" i="21"/>
  <c r="F113" i="6" s="1"/>
  <c r="L18" i="21"/>
  <c r="E113" i="6" s="1"/>
  <c r="N17" i="21"/>
  <c r="F112" i="6" s="1"/>
  <c r="L17" i="21"/>
  <c r="E112" i="6" s="1"/>
  <c r="N16" i="21"/>
  <c r="F111" i="6" s="1"/>
  <c r="L16" i="21"/>
  <c r="E111" i="6" s="1"/>
  <c r="N15" i="21"/>
  <c r="F110" i="6" s="1"/>
  <c r="L15" i="21"/>
  <c r="E110" i="6" s="1"/>
  <c r="N14" i="21"/>
  <c r="F109" i="6" s="1"/>
  <c r="L14" i="21"/>
  <c r="E109" i="6" s="1"/>
  <c r="N13" i="21"/>
  <c r="F108" i="6" s="1"/>
  <c r="L13" i="21"/>
  <c r="E108" i="6" s="1"/>
  <c r="N12" i="21"/>
  <c r="F107" i="6" s="1"/>
  <c r="L12" i="21"/>
  <c r="E107" i="6" s="1"/>
  <c r="N11" i="21"/>
  <c r="F106" i="6" s="1"/>
  <c r="L11" i="21"/>
  <c r="E106" i="6" s="1"/>
  <c r="N10" i="21"/>
  <c r="F105" i="6" s="1"/>
  <c r="L10" i="21"/>
  <c r="E105" i="6" s="1"/>
  <c r="N9" i="21"/>
  <c r="F104" i="6" s="1"/>
  <c r="L9" i="21"/>
  <c r="E104" i="6" s="1"/>
  <c r="N8" i="21"/>
  <c r="F103" i="6" s="1"/>
  <c r="L8" i="21"/>
  <c r="E103" i="6" s="1"/>
  <c r="N7" i="21"/>
  <c r="F102" i="6" s="1"/>
  <c r="L7" i="21"/>
  <c r="E102" i="6" s="1"/>
  <c r="N6" i="21"/>
  <c r="F101" i="6" s="1"/>
  <c r="L6" i="21"/>
  <c r="E101" i="6" s="1"/>
  <c r="N5" i="21"/>
  <c r="F100" i="6" s="1"/>
  <c r="L5" i="21"/>
  <c r="E100" i="6" s="1"/>
  <c r="N19" i="20"/>
  <c r="F98" i="6" s="1"/>
  <c r="L19" i="20"/>
  <c r="E98" i="6" s="1"/>
  <c r="N18" i="20"/>
  <c r="F97" i="6" s="1"/>
  <c r="L18" i="20"/>
  <c r="E97" i="6" s="1"/>
  <c r="N17" i="20"/>
  <c r="F96" i="6" s="1"/>
  <c r="L17" i="20"/>
  <c r="E96" i="6" s="1"/>
  <c r="N16" i="20"/>
  <c r="F95" i="6" s="1"/>
  <c r="L16" i="20"/>
  <c r="E95" i="6" s="1"/>
  <c r="N15" i="20"/>
  <c r="F94" i="6" s="1"/>
  <c r="L15" i="20"/>
  <c r="E94" i="6" s="1"/>
  <c r="N14" i="20"/>
  <c r="F93" i="6" s="1"/>
  <c r="L14" i="20"/>
  <c r="E93" i="6" s="1"/>
  <c r="N13" i="20"/>
  <c r="F92" i="6" s="1"/>
  <c r="L13" i="20"/>
  <c r="E92" i="6" s="1"/>
  <c r="N12" i="20"/>
  <c r="F91" i="6" s="1"/>
  <c r="L12" i="20"/>
  <c r="E91" i="6" s="1"/>
  <c r="N11" i="20"/>
  <c r="F90" i="6" s="1"/>
  <c r="L11" i="20"/>
  <c r="E90" i="6" s="1"/>
  <c r="N10" i="20"/>
  <c r="F89" i="6" s="1"/>
  <c r="L10" i="20"/>
  <c r="E89" i="6" s="1"/>
  <c r="N9" i="20"/>
  <c r="F88" i="6" s="1"/>
  <c r="L9" i="20"/>
  <c r="E88" i="6" s="1"/>
  <c r="N8" i="20"/>
  <c r="F87" i="6" s="1"/>
  <c r="L8" i="20"/>
  <c r="E87" i="6" s="1"/>
  <c r="N7" i="20"/>
  <c r="F86" i="6" s="1"/>
  <c r="L7" i="20"/>
  <c r="E86" i="6" s="1"/>
  <c r="N6" i="20"/>
  <c r="F85" i="6" s="1"/>
  <c r="L6" i="20"/>
  <c r="E85" i="6" s="1"/>
  <c r="N5" i="20"/>
  <c r="F84" i="6" s="1"/>
  <c r="L5" i="20"/>
  <c r="E84" i="6" s="1"/>
  <c r="N19" i="19"/>
  <c r="F82" i="6" s="1"/>
  <c r="L19" i="19"/>
  <c r="E82" i="6" s="1"/>
  <c r="N18" i="19"/>
  <c r="F81" i="6" s="1"/>
  <c r="L18" i="19"/>
  <c r="E81" i="6" s="1"/>
  <c r="N17" i="19"/>
  <c r="F80" i="6" s="1"/>
  <c r="L17" i="19"/>
  <c r="E80" i="6" s="1"/>
  <c r="N16" i="19"/>
  <c r="F79" i="6" s="1"/>
  <c r="L16" i="19"/>
  <c r="E79" i="6" s="1"/>
  <c r="N15" i="19"/>
  <c r="F78" i="6" s="1"/>
  <c r="L15" i="19"/>
  <c r="E78" i="6" s="1"/>
  <c r="N14" i="19"/>
  <c r="F77" i="6" s="1"/>
  <c r="L14" i="19"/>
  <c r="E77" i="6" s="1"/>
  <c r="N13" i="19"/>
  <c r="F76" i="6" s="1"/>
  <c r="L13" i="19"/>
  <c r="E76" i="6" s="1"/>
  <c r="N12" i="19"/>
  <c r="F75" i="6" s="1"/>
  <c r="L12" i="19"/>
  <c r="E75" i="6" s="1"/>
  <c r="N11" i="19"/>
  <c r="F74" i="6" s="1"/>
  <c r="L11" i="19"/>
  <c r="E74" i="6" s="1"/>
  <c r="N10" i="19"/>
  <c r="F73" i="6" s="1"/>
  <c r="L10" i="19"/>
  <c r="E73" i="6" s="1"/>
  <c r="N9" i="19"/>
  <c r="F72" i="6" s="1"/>
  <c r="L9" i="19"/>
  <c r="E72" i="6" s="1"/>
  <c r="N8" i="19"/>
  <c r="F71" i="6" s="1"/>
  <c r="L8" i="19"/>
  <c r="E71" i="6" s="1"/>
  <c r="N7" i="19"/>
  <c r="F70" i="6" s="1"/>
  <c r="L7" i="19"/>
  <c r="E70" i="6" s="1"/>
  <c r="N6" i="19"/>
  <c r="F69" i="6" s="1"/>
  <c r="L6" i="19"/>
  <c r="E69" i="6" s="1"/>
  <c r="N5" i="19"/>
  <c r="F68" i="6" s="1"/>
  <c r="L5" i="19"/>
  <c r="E68" i="6" s="1"/>
  <c r="N19" i="18"/>
  <c r="F66" i="6" s="1"/>
  <c r="L19" i="18"/>
  <c r="E66" i="6" s="1"/>
  <c r="N18" i="18"/>
  <c r="F65" i="6" s="1"/>
  <c r="L18" i="18"/>
  <c r="E65" i="6" s="1"/>
  <c r="N17" i="18"/>
  <c r="F64" i="6" s="1"/>
  <c r="L17" i="18"/>
  <c r="E64" i="6" s="1"/>
  <c r="N16" i="18"/>
  <c r="F63" i="6" s="1"/>
  <c r="L16" i="18"/>
  <c r="E63" i="6" s="1"/>
  <c r="N15" i="18"/>
  <c r="F62" i="6" s="1"/>
  <c r="L15" i="18"/>
  <c r="E62" i="6" s="1"/>
  <c r="N14" i="18"/>
  <c r="F61" i="6" s="1"/>
  <c r="L14" i="18"/>
  <c r="E61" i="6" s="1"/>
  <c r="N13" i="18"/>
  <c r="F60" i="6" s="1"/>
  <c r="L13" i="18"/>
  <c r="E60" i="6" s="1"/>
  <c r="N12" i="18"/>
  <c r="F59" i="6" s="1"/>
  <c r="L12" i="18"/>
  <c r="E59" i="6" s="1"/>
  <c r="N11" i="18"/>
  <c r="F58" i="6" s="1"/>
  <c r="L11" i="18"/>
  <c r="E58" i="6" s="1"/>
  <c r="N10" i="18"/>
  <c r="F57" i="6" s="1"/>
  <c r="L10" i="18"/>
  <c r="E57" i="6" s="1"/>
  <c r="N9" i="18"/>
  <c r="F56" i="6" s="1"/>
  <c r="L9" i="18"/>
  <c r="E56" i="6" s="1"/>
  <c r="N8" i="18"/>
  <c r="F55" i="6" s="1"/>
  <c r="L8" i="18"/>
  <c r="E55" i="6" s="1"/>
  <c r="N7" i="18"/>
  <c r="F54" i="6" s="1"/>
  <c r="L7" i="18"/>
  <c r="E54" i="6" s="1"/>
  <c r="N6" i="18"/>
  <c r="F53" i="6" s="1"/>
  <c r="L6" i="18"/>
  <c r="E53" i="6" s="1"/>
  <c r="N5" i="18"/>
  <c r="F52" i="6" s="1"/>
  <c r="L5" i="18"/>
  <c r="E52" i="6" s="1"/>
  <c r="N19" i="17"/>
  <c r="L19" i="17"/>
  <c r="E50" i="6" s="1"/>
  <c r="N18" i="17"/>
  <c r="L18" i="17"/>
  <c r="E49" i="6" s="1"/>
  <c r="N17" i="17"/>
  <c r="L17" i="17"/>
  <c r="E48" i="6" s="1"/>
  <c r="N16" i="17"/>
  <c r="L16" i="17"/>
  <c r="E47" i="6" s="1"/>
  <c r="N15" i="17"/>
  <c r="L15" i="17"/>
  <c r="E46" i="6" s="1"/>
  <c r="N14" i="17"/>
  <c r="L14" i="17"/>
  <c r="E45" i="6" s="1"/>
  <c r="N13" i="17"/>
  <c r="L13" i="17"/>
  <c r="E44" i="6" s="1"/>
  <c r="N12" i="17"/>
  <c r="L12" i="17"/>
  <c r="E43" i="6" s="1"/>
  <c r="N11" i="17"/>
  <c r="L11" i="17"/>
  <c r="E42" i="6" s="1"/>
  <c r="N10" i="17"/>
  <c r="L10" i="17"/>
  <c r="E41" i="6" s="1"/>
  <c r="N9" i="17"/>
  <c r="L9" i="17"/>
  <c r="E40" i="6" s="1"/>
  <c r="N8" i="17"/>
  <c r="L8" i="17"/>
  <c r="E39" i="6" s="1"/>
  <c r="N7" i="17"/>
  <c r="L7" i="17"/>
  <c r="E38" i="6" s="1"/>
  <c r="N6" i="17"/>
  <c r="L6" i="17"/>
  <c r="E37" i="6" s="1"/>
  <c r="N5" i="17"/>
  <c r="L5" i="17"/>
  <c r="E36" i="6" s="1"/>
  <c r="N19" i="15"/>
  <c r="F18" i="6" s="1"/>
  <c r="N18" i="15"/>
  <c r="F17" i="6" s="1"/>
  <c r="N17" i="15"/>
  <c r="F16" i="6" s="1"/>
  <c r="N16" i="15"/>
  <c r="F15" i="6" s="1"/>
  <c r="N15" i="15"/>
  <c r="F14" i="6" s="1"/>
  <c r="N14" i="15"/>
  <c r="F13" i="6" s="1"/>
  <c r="N13" i="15"/>
  <c r="F12" i="6" s="1"/>
  <c r="N12" i="15"/>
  <c r="F11" i="6" s="1"/>
  <c r="N11" i="15"/>
  <c r="F10" i="6" s="1"/>
  <c r="N10" i="15"/>
  <c r="F9" i="6" s="1"/>
  <c r="N9" i="15"/>
  <c r="F8" i="6" s="1"/>
  <c r="N8" i="15"/>
  <c r="F7" i="6" s="1"/>
  <c r="N7" i="15"/>
  <c r="F6" i="6" s="1"/>
  <c r="N6" i="15"/>
  <c r="F5" i="6" s="1"/>
  <c r="N5" i="15"/>
  <c r="F4" i="6" s="1"/>
  <c r="L19" i="15"/>
  <c r="L18" i="15"/>
  <c r="E17" i="6" s="1"/>
  <c r="L17" i="15"/>
  <c r="E16" i="6" s="1"/>
  <c r="L16" i="15"/>
  <c r="E15" i="6" s="1"/>
  <c r="L15" i="15"/>
  <c r="E14" i="6" s="1"/>
  <c r="L14" i="15"/>
  <c r="E13" i="6" s="1"/>
  <c r="L13" i="15"/>
  <c r="E12" i="6" s="1"/>
  <c r="L12" i="15"/>
  <c r="E11" i="6" s="1"/>
  <c r="L11" i="15"/>
  <c r="E10" i="6" s="1"/>
  <c r="L10" i="15"/>
  <c r="E9" i="6" s="1"/>
  <c r="L9" i="15"/>
  <c r="E8" i="6" s="1"/>
  <c r="L8" i="15"/>
  <c r="E7" i="6" s="1"/>
  <c r="L7" i="15"/>
  <c r="E6" i="6" s="1"/>
  <c r="L6" i="15"/>
  <c r="E5" i="6" s="1"/>
  <c r="L5" i="15"/>
  <c r="E4" i="6" s="1"/>
  <c r="D92" i="5"/>
  <c r="D87" i="5"/>
  <c r="D82" i="5"/>
  <c r="E76" i="5"/>
  <c r="F76" i="5" s="1"/>
  <c r="G76" i="5" s="1"/>
  <c r="H76" i="5" s="1"/>
  <c r="I76" i="5" s="1"/>
  <c r="J76" i="5" s="1"/>
  <c r="K76" i="5" s="1"/>
  <c r="L76" i="5" s="1"/>
  <c r="M76" i="5" s="1"/>
  <c r="N76" i="5" s="1"/>
  <c r="O76" i="5" s="1"/>
  <c r="P76" i="5" s="1"/>
  <c r="Q76" i="5" s="1"/>
  <c r="R76" i="5" s="1"/>
  <c r="A157" i="30" l="1"/>
  <c r="A133" i="30"/>
  <c r="A107" i="30"/>
  <c r="A181" i="30"/>
  <c r="J151" i="30"/>
  <c r="J175" i="30"/>
  <c r="J68" i="30"/>
  <c r="J82" i="30"/>
  <c r="J92" i="30"/>
  <c r="J58" i="30"/>
  <c r="J39" i="30"/>
  <c r="J63" i="30"/>
  <c r="J127" i="30"/>
  <c r="K100" i="30"/>
  <c r="J44" i="30"/>
  <c r="J34" i="30"/>
  <c r="J87" i="30"/>
  <c r="C106" i="30"/>
  <c r="I121" i="30"/>
  <c r="I123" i="30" s="1"/>
  <c r="I211" i="30" s="1"/>
  <c r="D10" i="30"/>
  <c r="F9" i="30"/>
  <c r="A181" i="29"/>
  <c r="A157" i="29"/>
  <c r="A133" i="29"/>
  <c r="A107" i="29"/>
  <c r="J175" i="29"/>
  <c r="J151" i="29"/>
  <c r="J127" i="29"/>
  <c r="J68" i="29"/>
  <c r="J87" i="29"/>
  <c r="J63" i="29"/>
  <c r="J82" i="29"/>
  <c r="J58" i="29"/>
  <c r="J92" i="29"/>
  <c r="K100" i="29"/>
  <c r="J44" i="29"/>
  <c r="J39" i="29"/>
  <c r="J34" i="29"/>
  <c r="H121" i="29"/>
  <c r="H123" i="29" s="1"/>
  <c r="H211" i="29" s="1"/>
  <c r="C105" i="29"/>
  <c r="D9" i="29"/>
  <c r="F8" i="29"/>
  <c r="I102" i="27"/>
  <c r="J103" i="27" s="1"/>
  <c r="K104" i="27" s="1"/>
  <c r="L105" i="27" s="1"/>
  <c r="M106" i="27" s="1"/>
  <c r="N107" i="27" s="1"/>
  <c r="O108" i="27" s="1"/>
  <c r="P109" i="27" s="1"/>
  <c r="Q110" i="27" s="1"/>
  <c r="R111" i="27" s="1"/>
  <c r="A181" i="27"/>
  <c r="A157" i="27"/>
  <c r="A133" i="27"/>
  <c r="A107" i="27"/>
  <c r="I121" i="27"/>
  <c r="I123" i="27" s="1"/>
  <c r="I211" i="27" s="1"/>
  <c r="F9" i="27"/>
  <c r="D10" i="27"/>
  <c r="C106" i="27"/>
  <c r="I175" i="27"/>
  <c r="I92" i="27"/>
  <c r="I151" i="27"/>
  <c r="I127" i="27"/>
  <c r="I44" i="27"/>
  <c r="I34" i="27"/>
  <c r="I82" i="27"/>
  <c r="I68" i="27"/>
  <c r="I87" i="27"/>
  <c r="I58" i="27"/>
  <c r="I39" i="27"/>
  <c r="I63" i="27"/>
  <c r="J100" i="27"/>
  <c r="G78" i="5"/>
  <c r="U19" i="16"/>
  <c r="E34" i="6"/>
  <c r="U19" i="15"/>
  <c r="E18" i="6"/>
  <c r="Y18" i="6" s="1"/>
  <c r="U19" i="21"/>
  <c r="U19" i="17"/>
  <c r="U19" i="19"/>
  <c r="U19" i="18"/>
  <c r="Q97" i="5"/>
  <c r="I97" i="5"/>
  <c r="J97" i="5"/>
  <c r="P97" i="5"/>
  <c r="M97" i="5"/>
  <c r="R97" i="5"/>
  <c r="K97" i="5"/>
  <c r="L97" i="5"/>
  <c r="N97" i="5"/>
  <c r="G97" i="5"/>
  <c r="O97" i="5"/>
  <c r="H97" i="5"/>
  <c r="C122" i="6"/>
  <c r="C121" i="6"/>
  <c r="D68" i="6"/>
  <c r="D52" i="6"/>
  <c r="D36" i="6"/>
  <c r="F129" i="6" l="1"/>
  <c r="F135" i="6"/>
  <c r="F126" i="6"/>
  <c r="O136" i="6"/>
  <c r="V136" i="6"/>
  <c r="O137" i="6"/>
  <c r="V137" i="6"/>
  <c r="O138" i="6"/>
  <c r="V138" i="6"/>
  <c r="U139" i="6"/>
  <c r="U140" i="6"/>
  <c r="H131" i="6"/>
  <c r="F136" i="6"/>
  <c r="P136" i="6"/>
  <c r="W136" i="6"/>
  <c r="P137" i="6"/>
  <c r="W137" i="6"/>
  <c r="P138" i="6"/>
  <c r="W138" i="6"/>
  <c r="O139" i="6"/>
  <c r="V139" i="6"/>
  <c r="O140" i="6"/>
  <c r="V140" i="6"/>
  <c r="H126" i="6"/>
  <c r="H132" i="6"/>
  <c r="E140" i="6"/>
  <c r="H134" i="6"/>
  <c r="F139" i="6"/>
  <c r="T136" i="6"/>
  <c r="T137" i="6"/>
  <c r="T138" i="6"/>
  <c r="R139" i="6"/>
  <c r="G140" i="6"/>
  <c r="H129" i="6"/>
  <c r="F134" i="6"/>
  <c r="U136" i="6"/>
  <c r="H139" i="6"/>
  <c r="T139" i="6"/>
  <c r="H140" i="6"/>
  <c r="F130" i="6"/>
  <c r="F131" i="6"/>
  <c r="F137" i="6"/>
  <c r="K137" i="6" s="1"/>
  <c r="E136" i="6"/>
  <c r="Q136" i="6"/>
  <c r="E137" i="6"/>
  <c r="Q137" i="6"/>
  <c r="E138" i="6"/>
  <c r="Q138" i="6"/>
  <c r="E139" i="6"/>
  <c r="P139" i="6"/>
  <c r="W139" i="6"/>
  <c r="P140" i="6"/>
  <c r="W140" i="6"/>
  <c r="H127" i="6"/>
  <c r="H133" i="6"/>
  <c r="F138" i="6"/>
  <c r="G136" i="6"/>
  <c r="R136" i="6"/>
  <c r="G137" i="6"/>
  <c r="R137" i="6"/>
  <c r="G138" i="6"/>
  <c r="R138" i="6"/>
  <c r="Q139" i="6"/>
  <c r="Q140" i="6"/>
  <c r="H128" i="6"/>
  <c r="F133" i="6"/>
  <c r="H136" i="6"/>
  <c r="M136" i="6" s="1"/>
  <c r="H137" i="6"/>
  <c r="M137" i="6" s="1"/>
  <c r="H138" i="6"/>
  <c r="M138" i="6" s="1"/>
  <c r="G139" i="6"/>
  <c r="R140" i="6"/>
  <c r="H135" i="6"/>
  <c r="F140" i="6"/>
  <c r="U137" i="6"/>
  <c r="U138" i="6"/>
  <c r="T140" i="6"/>
  <c r="H130" i="6"/>
  <c r="F132" i="6"/>
  <c r="F127" i="6"/>
  <c r="F128" i="6"/>
  <c r="K151" i="30"/>
  <c r="K127" i="30"/>
  <c r="K175" i="30"/>
  <c r="K87" i="30"/>
  <c r="K63" i="30"/>
  <c r="K92" i="30"/>
  <c r="K58" i="30"/>
  <c r="K39" i="30"/>
  <c r="L100" i="30"/>
  <c r="K44" i="30"/>
  <c r="K34" i="30"/>
  <c r="K68" i="30"/>
  <c r="K82" i="30"/>
  <c r="A158" i="30"/>
  <c r="A134" i="30"/>
  <c r="A182" i="30"/>
  <c r="A108" i="30"/>
  <c r="C107" i="30"/>
  <c r="F10" i="30"/>
  <c r="J121" i="30"/>
  <c r="J123" i="30" s="1"/>
  <c r="J211" i="30" s="1"/>
  <c r="D11" i="30"/>
  <c r="A182" i="29"/>
  <c r="A158" i="29"/>
  <c r="A134" i="29"/>
  <c r="A108" i="29"/>
  <c r="I121" i="29"/>
  <c r="I123" i="29" s="1"/>
  <c r="I211" i="29" s="1"/>
  <c r="C106" i="29"/>
  <c r="F9" i="29"/>
  <c r="D10" i="29"/>
  <c r="K175" i="29"/>
  <c r="K151" i="29"/>
  <c r="K127" i="29"/>
  <c r="K87" i="29"/>
  <c r="K63" i="29"/>
  <c r="K82" i="29"/>
  <c r="K58" i="29"/>
  <c r="K92" i="29"/>
  <c r="K68" i="29"/>
  <c r="K44" i="29"/>
  <c r="K39" i="29"/>
  <c r="K34" i="29"/>
  <c r="L100" i="29"/>
  <c r="J102" i="27"/>
  <c r="K103" i="27" s="1"/>
  <c r="L104" i="27" s="1"/>
  <c r="M105" i="27" s="1"/>
  <c r="N106" i="27" s="1"/>
  <c r="O107" i="27" s="1"/>
  <c r="P108" i="27" s="1"/>
  <c r="Q109" i="27" s="1"/>
  <c r="R110" i="27" s="1"/>
  <c r="J121" i="27"/>
  <c r="J123" i="27" s="1"/>
  <c r="J211" i="27" s="1"/>
  <c r="C107" i="27"/>
  <c r="D11" i="27"/>
  <c r="F10" i="27"/>
  <c r="J175" i="27"/>
  <c r="J151" i="27"/>
  <c r="J82" i="27"/>
  <c r="J68" i="27"/>
  <c r="J58" i="27"/>
  <c r="J127" i="27"/>
  <c r="J87" i="27"/>
  <c r="J63" i="27"/>
  <c r="J39" i="27"/>
  <c r="J92" i="27"/>
  <c r="J44" i="27"/>
  <c r="J34" i="27"/>
  <c r="K100" i="27"/>
  <c r="A182" i="27"/>
  <c r="A158" i="27"/>
  <c r="A108" i="27"/>
  <c r="A134" i="27"/>
  <c r="H78" i="5"/>
  <c r="V134" i="6"/>
  <c r="T133" i="6"/>
  <c r="V131" i="6"/>
  <c r="T130" i="6"/>
  <c r="V128" i="6"/>
  <c r="T127" i="6"/>
  <c r="Q134" i="6"/>
  <c r="O133" i="6"/>
  <c r="Q131" i="6"/>
  <c r="O130" i="6"/>
  <c r="Q128" i="6"/>
  <c r="O127" i="6"/>
  <c r="V133" i="6"/>
  <c r="V127" i="6"/>
  <c r="Q133" i="6"/>
  <c r="Q130" i="6"/>
  <c r="O126" i="6"/>
  <c r="U133" i="6"/>
  <c r="U127" i="6"/>
  <c r="R131" i="6"/>
  <c r="R128" i="6"/>
  <c r="W135" i="6"/>
  <c r="U134" i="6"/>
  <c r="W132" i="6"/>
  <c r="U131" i="6"/>
  <c r="W129" i="6"/>
  <c r="U128" i="6"/>
  <c r="W126" i="6"/>
  <c r="R135" i="6"/>
  <c r="P134" i="6"/>
  <c r="R132" i="6"/>
  <c r="P131" i="6"/>
  <c r="R129" i="6"/>
  <c r="P128" i="6"/>
  <c r="R126" i="6"/>
  <c r="T132" i="6"/>
  <c r="T126" i="6"/>
  <c r="O135" i="6"/>
  <c r="Q127" i="6"/>
  <c r="W131" i="6"/>
  <c r="P133" i="6"/>
  <c r="P127" i="6"/>
  <c r="V135" i="6"/>
  <c r="T134" i="6"/>
  <c r="V132" i="6"/>
  <c r="T131" i="6"/>
  <c r="V129" i="6"/>
  <c r="T128" i="6"/>
  <c r="V126" i="6"/>
  <c r="Q135" i="6"/>
  <c r="O134" i="6"/>
  <c r="Q132" i="6"/>
  <c r="O131" i="6"/>
  <c r="Q129" i="6"/>
  <c r="O128" i="6"/>
  <c r="Q126" i="6"/>
  <c r="T135" i="6"/>
  <c r="T129" i="6"/>
  <c r="O129" i="6"/>
  <c r="U130" i="6"/>
  <c r="R134" i="6"/>
  <c r="U135" i="6"/>
  <c r="W133" i="6"/>
  <c r="U132" i="6"/>
  <c r="W130" i="6"/>
  <c r="U129" i="6"/>
  <c r="W127" i="6"/>
  <c r="U126" i="6"/>
  <c r="P135" i="6"/>
  <c r="R133" i="6"/>
  <c r="P132" i="6"/>
  <c r="R130" i="6"/>
  <c r="P129" i="6"/>
  <c r="R127" i="6"/>
  <c r="P126" i="6"/>
  <c r="V130" i="6"/>
  <c r="O132" i="6"/>
  <c r="W134" i="6"/>
  <c r="W128" i="6"/>
  <c r="P130" i="6"/>
  <c r="E129" i="6"/>
  <c r="Y129" i="6" s="1"/>
  <c r="E133" i="6"/>
  <c r="E128" i="6"/>
  <c r="Y128" i="6" s="1"/>
  <c r="E130" i="6"/>
  <c r="E132" i="6"/>
  <c r="E134" i="6"/>
  <c r="E135" i="6"/>
  <c r="E126" i="6"/>
  <c r="E127" i="6"/>
  <c r="Y127" i="6" s="1"/>
  <c r="E131" i="6"/>
  <c r="K126" i="6"/>
  <c r="O12" i="5"/>
  <c r="K140" i="6" l="1"/>
  <c r="Y131" i="6"/>
  <c r="J138" i="6"/>
  <c r="Y138" i="6"/>
  <c r="Y135" i="6"/>
  <c r="Y130" i="6"/>
  <c r="K139" i="6"/>
  <c r="J126" i="6"/>
  <c r="L126" i="6" s="1"/>
  <c r="Y126" i="6"/>
  <c r="Y134" i="6"/>
  <c r="J137" i="6"/>
  <c r="L137" i="6" s="1"/>
  <c r="Y137" i="6"/>
  <c r="Y140" i="6"/>
  <c r="M140" i="6"/>
  <c r="Y133" i="6"/>
  <c r="Y132" i="6"/>
  <c r="K138" i="6"/>
  <c r="J140" i="6"/>
  <c r="L140" i="6" s="1"/>
  <c r="J139" i="6"/>
  <c r="L139" i="6" s="1"/>
  <c r="J136" i="6"/>
  <c r="Y136" i="6"/>
  <c r="Y139" i="6"/>
  <c r="M139" i="6"/>
  <c r="K136" i="6"/>
  <c r="L175" i="30"/>
  <c r="L82" i="30"/>
  <c r="L58" i="30"/>
  <c r="L87" i="30"/>
  <c r="L127" i="30"/>
  <c r="L68" i="30"/>
  <c r="L151" i="30"/>
  <c r="L92" i="30"/>
  <c r="L39" i="30"/>
  <c r="L34" i="30"/>
  <c r="M100" i="30"/>
  <c r="L63" i="30"/>
  <c r="L44" i="30"/>
  <c r="K121" i="30"/>
  <c r="K123" i="30" s="1"/>
  <c r="K211" i="30" s="1"/>
  <c r="C108" i="30"/>
  <c r="F11" i="30"/>
  <c r="D12" i="30"/>
  <c r="A183" i="30"/>
  <c r="A159" i="30"/>
  <c r="A135" i="30"/>
  <c r="A109" i="30"/>
  <c r="L175" i="29"/>
  <c r="L151" i="29"/>
  <c r="L127" i="29"/>
  <c r="L82" i="29"/>
  <c r="L58" i="29"/>
  <c r="L92" i="29"/>
  <c r="L39" i="29"/>
  <c r="M100" i="29"/>
  <c r="L87" i="29"/>
  <c r="L63" i="29"/>
  <c r="L44" i="29"/>
  <c r="L34" i="29"/>
  <c r="L68" i="29"/>
  <c r="A183" i="29"/>
  <c r="A159" i="29"/>
  <c r="A135" i="29"/>
  <c r="A109" i="29"/>
  <c r="J121" i="29"/>
  <c r="J123" i="29" s="1"/>
  <c r="J211" i="29" s="1"/>
  <c r="C107" i="29"/>
  <c r="D11" i="29"/>
  <c r="F10" i="29"/>
  <c r="K121" i="27"/>
  <c r="K123" i="27" s="1"/>
  <c r="K211" i="27" s="1"/>
  <c r="F11" i="27"/>
  <c r="C108" i="27"/>
  <c r="D12" i="27"/>
  <c r="A183" i="27"/>
  <c r="A159" i="27"/>
  <c r="A109" i="27"/>
  <c r="A135" i="27"/>
  <c r="K102" i="27"/>
  <c r="L103" i="27" s="1"/>
  <c r="M104" i="27" s="1"/>
  <c r="N105" i="27" s="1"/>
  <c r="O106" i="27" s="1"/>
  <c r="P107" i="27" s="1"/>
  <c r="Q108" i="27" s="1"/>
  <c r="R109" i="27" s="1"/>
  <c r="K175" i="27"/>
  <c r="L100" i="27"/>
  <c r="K127" i="27"/>
  <c r="K87" i="27"/>
  <c r="K63" i="27"/>
  <c r="K92" i="27"/>
  <c r="K44" i="27"/>
  <c r="K34" i="27"/>
  <c r="K58" i="27"/>
  <c r="K151" i="27"/>
  <c r="K82" i="27"/>
  <c r="K68" i="27"/>
  <c r="K39" i="27"/>
  <c r="I78" i="5"/>
  <c r="M130" i="6"/>
  <c r="M127" i="6"/>
  <c r="M126" i="6"/>
  <c r="M131" i="6"/>
  <c r="M128" i="6"/>
  <c r="M133" i="6"/>
  <c r="M134" i="6"/>
  <c r="M135" i="6"/>
  <c r="M132" i="6"/>
  <c r="M129" i="6"/>
  <c r="K128" i="6"/>
  <c r="J134" i="6"/>
  <c r="J130" i="6"/>
  <c r="J132" i="6"/>
  <c r="K132" i="6"/>
  <c r="J128" i="6"/>
  <c r="J127" i="6"/>
  <c r="K134" i="6"/>
  <c r="K133" i="6"/>
  <c r="K130" i="6"/>
  <c r="J131" i="6"/>
  <c r="J135" i="6"/>
  <c r="J129" i="6"/>
  <c r="J133" i="6"/>
  <c r="K129" i="6"/>
  <c r="K127" i="6"/>
  <c r="K135" i="6"/>
  <c r="K131" i="6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A176" i="5"/>
  <c r="A152" i="5"/>
  <c r="A128" i="5"/>
  <c r="L138" i="6" l="1"/>
  <c r="L136" i="6"/>
  <c r="Z140" i="6"/>
  <c r="AA140" i="6" s="1"/>
  <c r="M175" i="30"/>
  <c r="M127" i="30"/>
  <c r="M92" i="30"/>
  <c r="M87" i="30"/>
  <c r="N100" i="30"/>
  <c r="M63" i="30"/>
  <c r="M44" i="30"/>
  <c r="M34" i="30"/>
  <c r="M58" i="30"/>
  <c r="M151" i="30"/>
  <c r="M82" i="30"/>
  <c r="M39" i="30"/>
  <c r="M68" i="30"/>
  <c r="C109" i="30"/>
  <c r="D13" i="30"/>
  <c r="L121" i="30"/>
  <c r="L123" i="30" s="1"/>
  <c r="L211" i="30" s="1"/>
  <c r="F12" i="30"/>
  <c r="A184" i="30"/>
  <c r="A160" i="30"/>
  <c r="A136" i="30"/>
  <c r="A110" i="30"/>
  <c r="M151" i="29"/>
  <c r="M127" i="29"/>
  <c r="M92" i="29"/>
  <c r="N100" i="29"/>
  <c r="M175" i="29"/>
  <c r="M68" i="29"/>
  <c r="M82" i="29"/>
  <c r="M58" i="29"/>
  <c r="M44" i="29"/>
  <c r="M63" i="29"/>
  <c r="M39" i="29"/>
  <c r="M34" i="29"/>
  <c r="M87" i="29"/>
  <c r="A136" i="29"/>
  <c r="A184" i="29"/>
  <c r="A160" i="29"/>
  <c r="A110" i="29"/>
  <c r="K121" i="29"/>
  <c r="K123" i="29" s="1"/>
  <c r="K211" i="29" s="1"/>
  <c r="D12" i="29"/>
  <c r="C108" i="29"/>
  <c r="F11" i="29"/>
  <c r="L175" i="27"/>
  <c r="L151" i="27"/>
  <c r="L127" i="27"/>
  <c r="L58" i="27"/>
  <c r="L39" i="27"/>
  <c r="L44" i="27"/>
  <c r="M100" i="27"/>
  <c r="L92" i="27"/>
  <c r="L82" i="27"/>
  <c r="L68" i="27"/>
  <c r="L87" i="27"/>
  <c r="L63" i="27"/>
  <c r="L34" i="27"/>
  <c r="L121" i="27"/>
  <c r="L123" i="27" s="1"/>
  <c r="L211" i="27" s="1"/>
  <c r="C109" i="27"/>
  <c r="D13" i="27"/>
  <c r="F12" i="27"/>
  <c r="L102" i="27"/>
  <c r="M103" i="27" s="1"/>
  <c r="N104" i="27" s="1"/>
  <c r="O105" i="27" s="1"/>
  <c r="P106" i="27" s="1"/>
  <c r="Q107" i="27" s="1"/>
  <c r="R108" i="27" s="1"/>
  <c r="A184" i="27"/>
  <c r="A160" i="27"/>
  <c r="A136" i="27"/>
  <c r="A110" i="27"/>
  <c r="J78" i="5"/>
  <c r="L128" i="6"/>
  <c r="L135" i="6"/>
  <c r="L127" i="6"/>
  <c r="L130" i="6"/>
  <c r="L134" i="6"/>
  <c r="L132" i="6"/>
  <c r="L133" i="6"/>
  <c r="L131" i="6"/>
  <c r="L129" i="6"/>
  <c r="E100" i="5"/>
  <c r="D175" i="5"/>
  <c r="D151" i="5"/>
  <c r="D127" i="5"/>
  <c r="A161" i="30" l="1"/>
  <c r="A185" i="30"/>
  <c r="A111" i="30"/>
  <c r="A137" i="30"/>
  <c r="C110" i="30"/>
  <c r="M121" i="30"/>
  <c r="M123" i="30" s="1"/>
  <c r="M211" i="30" s="1"/>
  <c r="D14" i="30"/>
  <c r="F13" i="30"/>
  <c r="N175" i="30"/>
  <c r="N151" i="30"/>
  <c r="N127" i="30"/>
  <c r="O100" i="30"/>
  <c r="N63" i="30"/>
  <c r="N44" i="30"/>
  <c r="N34" i="30"/>
  <c r="N68" i="30"/>
  <c r="N82" i="30"/>
  <c r="N39" i="30"/>
  <c r="N87" i="30"/>
  <c r="N92" i="30"/>
  <c r="N58" i="30"/>
  <c r="C109" i="29"/>
  <c r="L121" i="29"/>
  <c r="L123" i="29" s="1"/>
  <c r="L211" i="29" s="1"/>
  <c r="F12" i="29"/>
  <c r="D13" i="29"/>
  <c r="A185" i="29"/>
  <c r="A161" i="29"/>
  <c r="A137" i="29"/>
  <c r="A111" i="29"/>
  <c r="N175" i="29"/>
  <c r="N151" i="29"/>
  <c r="N127" i="29"/>
  <c r="O100" i="29"/>
  <c r="N68" i="29"/>
  <c r="N87" i="29"/>
  <c r="N63" i="29"/>
  <c r="N92" i="29"/>
  <c r="N39" i="29"/>
  <c r="N34" i="29"/>
  <c r="N82" i="29"/>
  <c r="N58" i="29"/>
  <c r="N44" i="29"/>
  <c r="M102" i="27"/>
  <c r="N103" i="27" s="1"/>
  <c r="O104" i="27" s="1"/>
  <c r="P105" i="27" s="1"/>
  <c r="Q106" i="27" s="1"/>
  <c r="R107" i="27" s="1"/>
  <c r="A111" i="27"/>
  <c r="A161" i="27"/>
  <c r="A137" i="27"/>
  <c r="A185" i="27"/>
  <c r="M121" i="27"/>
  <c r="M123" i="27" s="1"/>
  <c r="M211" i="27" s="1"/>
  <c r="C110" i="27"/>
  <c r="F13" i="27"/>
  <c r="D14" i="27"/>
  <c r="M175" i="27"/>
  <c r="M151" i="27"/>
  <c r="M127" i="27"/>
  <c r="M87" i="27"/>
  <c r="N100" i="27"/>
  <c r="M82" i="27"/>
  <c r="M68" i="27"/>
  <c r="M63" i="27"/>
  <c r="M44" i="27"/>
  <c r="M34" i="27"/>
  <c r="M58" i="27"/>
  <c r="M39" i="27"/>
  <c r="M92" i="27"/>
  <c r="K78" i="5"/>
  <c r="E34" i="5"/>
  <c r="E58" i="5"/>
  <c r="E44" i="5"/>
  <c r="E39" i="5"/>
  <c r="E68" i="5"/>
  <c r="E63" i="5"/>
  <c r="F100" i="5"/>
  <c r="E92" i="5"/>
  <c r="E87" i="5"/>
  <c r="E82" i="5"/>
  <c r="E127" i="5"/>
  <c r="E151" i="5"/>
  <c r="E175" i="5"/>
  <c r="N121" i="30" l="1"/>
  <c r="N123" i="30" s="1"/>
  <c r="N211" i="30" s="1"/>
  <c r="D15" i="30"/>
  <c r="C111" i="30"/>
  <c r="F14" i="30"/>
  <c r="A186" i="30"/>
  <c r="A162" i="30"/>
  <c r="A112" i="30"/>
  <c r="A138" i="30"/>
  <c r="O175" i="30"/>
  <c r="O151" i="30"/>
  <c r="P100" i="30"/>
  <c r="O68" i="30"/>
  <c r="O92" i="30"/>
  <c r="O58" i="30"/>
  <c r="O63" i="30"/>
  <c r="O44" i="30"/>
  <c r="O34" i="30"/>
  <c r="O87" i="30"/>
  <c r="O39" i="30"/>
  <c r="O82" i="30"/>
  <c r="O127" i="30"/>
  <c r="M121" i="29"/>
  <c r="M123" i="29" s="1"/>
  <c r="M211" i="29" s="1"/>
  <c r="C110" i="29"/>
  <c r="D14" i="29"/>
  <c r="F13" i="29"/>
  <c r="A186" i="29"/>
  <c r="A162" i="29"/>
  <c r="A138" i="29"/>
  <c r="A112" i="29"/>
  <c r="O175" i="29"/>
  <c r="P100" i="29"/>
  <c r="O68" i="29"/>
  <c r="O44" i="29"/>
  <c r="O34" i="29"/>
  <c r="O127" i="29"/>
  <c r="O87" i="29"/>
  <c r="O63" i="29"/>
  <c r="O82" i="29"/>
  <c r="O58" i="29"/>
  <c r="O151" i="29"/>
  <c r="O92" i="29"/>
  <c r="O39" i="29"/>
  <c r="C111" i="27"/>
  <c r="D15" i="27"/>
  <c r="N121" i="27"/>
  <c r="N123" i="27" s="1"/>
  <c r="N211" i="27" s="1"/>
  <c r="F14" i="27"/>
  <c r="N102" i="27"/>
  <c r="O103" i="27" s="1"/>
  <c r="P104" i="27" s="1"/>
  <c r="Q105" i="27" s="1"/>
  <c r="R106" i="27" s="1"/>
  <c r="N175" i="27"/>
  <c r="N82" i="27"/>
  <c r="N151" i="27"/>
  <c r="N127" i="27"/>
  <c r="N34" i="27"/>
  <c r="N63" i="27"/>
  <c r="N87" i="27"/>
  <c r="N58" i="27"/>
  <c r="N39" i="27"/>
  <c r="N92" i="27"/>
  <c r="O100" i="27"/>
  <c r="N44" i="27"/>
  <c r="N68" i="27"/>
  <c r="A186" i="27"/>
  <c r="A162" i="27"/>
  <c r="A112" i="27"/>
  <c r="A138" i="27"/>
  <c r="L78" i="5"/>
  <c r="F151" i="5"/>
  <c r="F34" i="5"/>
  <c r="F58" i="5"/>
  <c r="F44" i="5"/>
  <c r="F39" i="5"/>
  <c r="F68" i="5"/>
  <c r="F63" i="5"/>
  <c r="F127" i="5"/>
  <c r="G100" i="5"/>
  <c r="G127" i="5" s="1"/>
  <c r="F175" i="5"/>
  <c r="G151" i="5"/>
  <c r="F82" i="5"/>
  <c r="F87" i="5"/>
  <c r="F92" i="5"/>
  <c r="G87" i="5"/>
  <c r="O121" i="30" l="1"/>
  <c r="O123" i="30" s="1"/>
  <c r="O211" i="30" s="1"/>
  <c r="D16" i="30"/>
  <c r="C112" i="30"/>
  <c r="F15" i="30"/>
  <c r="A187" i="30"/>
  <c r="A163" i="30"/>
  <c r="A139" i="30"/>
  <c r="A113" i="30"/>
  <c r="P151" i="30"/>
  <c r="P68" i="30"/>
  <c r="P127" i="30"/>
  <c r="P82" i="30"/>
  <c r="P39" i="30"/>
  <c r="P87" i="30"/>
  <c r="P63" i="30"/>
  <c r="P44" i="30"/>
  <c r="P34" i="30"/>
  <c r="P175" i="30"/>
  <c r="Q100" i="30"/>
  <c r="P92" i="30"/>
  <c r="P58" i="30"/>
  <c r="P175" i="29"/>
  <c r="P151" i="29"/>
  <c r="P127" i="29"/>
  <c r="P68" i="29"/>
  <c r="P87" i="29"/>
  <c r="P63" i="29"/>
  <c r="P82" i="29"/>
  <c r="P58" i="29"/>
  <c r="P92" i="29"/>
  <c r="Q100" i="29"/>
  <c r="P44" i="29"/>
  <c r="P34" i="29"/>
  <c r="P39" i="29"/>
  <c r="A187" i="29"/>
  <c r="A163" i="29"/>
  <c r="A139" i="29"/>
  <c r="A113" i="29"/>
  <c r="N121" i="29"/>
  <c r="N123" i="29" s="1"/>
  <c r="N211" i="29" s="1"/>
  <c r="F14" i="29"/>
  <c r="C111" i="29"/>
  <c r="D15" i="29"/>
  <c r="A187" i="27"/>
  <c r="A163" i="27"/>
  <c r="A139" i="27"/>
  <c r="A113" i="27"/>
  <c r="O175" i="27"/>
  <c r="O92" i="27"/>
  <c r="O151" i="27"/>
  <c r="O127" i="27"/>
  <c r="O44" i="27"/>
  <c r="O34" i="27"/>
  <c r="O68" i="27"/>
  <c r="O63" i="27"/>
  <c r="O39" i="27"/>
  <c r="P100" i="27"/>
  <c r="O82" i="27"/>
  <c r="O87" i="27"/>
  <c r="O58" i="27"/>
  <c r="O121" i="27"/>
  <c r="O123" i="27" s="1"/>
  <c r="O211" i="27" s="1"/>
  <c r="C112" i="27"/>
  <c r="D16" i="27"/>
  <c r="F15" i="27"/>
  <c r="O102" i="27"/>
  <c r="P103" i="27" s="1"/>
  <c r="Q104" i="27" s="1"/>
  <c r="R105" i="27" s="1"/>
  <c r="G92" i="5"/>
  <c r="H100" i="5"/>
  <c r="H34" i="5" s="1"/>
  <c r="G82" i="5"/>
  <c r="M78" i="5"/>
  <c r="H68" i="5"/>
  <c r="G175" i="5"/>
  <c r="G44" i="5"/>
  <c r="G39" i="5"/>
  <c r="G68" i="5"/>
  <c r="G63" i="5"/>
  <c r="G34" i="5"/>
  <c r="G58" i="5"/>
  <c r="H87" i="5"/>
  <c r="H58" i="5" l="1"/>
  <c r="H127" i="5"/>
  <c r="H175" i="5"/>
  <c r="H44" i="5"/>
  <c r="I100" i="5"/>
  <c r="I44" i="5" s="1"/>
  <c r="H39" i="5"/>
  <c r="H82" i="5"/>
  <c r="H92" i="5"/>
  <c r="H63" i="5"/>
  <c r="A164" i="30"/>
  <c r="A188" i="30"/>
  <c r="A140" i="30"/>
  <c r="A114" i="30"/>
  <c r="C113" i="30"/>
  <c r="P121" i="30"/>
  <c r="P123" i="30" s="1"/>
  <c r="P211" i="30" s="1"/>
  <c r="F16" i="30"/>
  <c r="D17" i="30"/>
  <c r="Q151" i="30"/>
  <c r="Q127" i="30"/>
  <c r="Q87" i="30"/>
  <c r="Q63" i="30"/>
  <c r="Q82" i="30"/>
  <c r="Q39" i="30"/>
  <c r="Q92" i="30"/>
  <c r="Q58" i="30"/>
  <c r="Q44" i="30"/>
  <c r="Q34" i="30"/>
  <c r="Q175" i="30"/>
  <c r="R100" i="30"/>
  <c r="Q68" i="30"/>
  <c r="A140" i="29"/>
  <c r="A164" i="29"/>
  <c r="A114" i="29"/>
  <c r="A188" i="29"/>
  <c r="Q175" i="29"/>
  <c r="Q151" i="29"/>
  <c r="Q127" i="29"/>
  <c r="Q87" i="29"/>
  <c r="Q63" i="29"/>
  <c r="Q82" i="29"/>
  <c r="Q58" i="29"/>
  <c r="Q92" i="29"/>
  <c r="Q68" i="29"/>
  <c r="Q34" i="29"/>
  <c r="R100" i="29"/>
  <c r="Q44" i="29"/>
  <c r="Q39" i="29"/>
  <c r="C112" i="29"/>
  <c r="O121" i="29"/>
  <c r="O123" i="29" s="1"/>
  <c r="O211" i="29" s="1"/>
  <c r="D16" i="29"/>
  <c r="F15" i="29"/>
  <c r="P175" i="27"/>
  <c r="P92" i="27"/>
  <c r="P68" i="27"/>
  <c r="P82" i="27"/>
  <c r="P87" i="27"/>
  <c r="P58" i="27"/>
  <c r="P39" i="27"/>
  <c r="Q100" i="27"/>
  <c r="P151" i="27"/>
  <c r="P63" i="27"/>
  <c r="P127" i="27"/>
  <c r="P44" i="27"/>
  <c r="P34" i="27"/>
  <c r="P102" i="27"/>
  <c r="Q103" i="27" s="1"/>
  <c r="R104" i="27" s="1"/>
  <c r="A188" i="27"/>
  <c r="A164" i="27"/>
  <c r="A140" i="27"/>
  <c r="A114" i="27"/>
  <c r="P121" i="27"/>
  <c r="P123" i="27" s="1"/>
  <c r="P211" i="27" s="1"/>
  <c r="C113" i="27"/>
  <c r="D17" i="27"/>
  <c r="F16" i="27"/>
  <c r="H151" i="5"/>
  <c r="N78" i="5"/>
  <c r="I34" i="5"/>
  <c r="I58" i="5"/>
  <c r="I175" i="5"/>
  <c r="I92" i="5"/>
  <c r="B142" i="5"/>
  <c r="B166" i="5" s="1"/>
  <c r="B190" i="5" s="1"/>
  <c r="J100" i="5" l="1"/>
  <c r="I63" i="5"/>
  <c r="I151" i="5"/>
  <c r="I82" i="5"/>
  <c r="I68" i="5"/>
  <c r="I127" i="5"/>
  <c r="I39" i="5"/>
  <c r="I87" i="5"/>
  <c r="R175" i="30"/>
  <c r="R127" i="30"/>
  <c r="R82" i="30"/>
  <c r="R58" i="30"/>
  <c r="R92" i="30"/>
  <c r="R151" i="30"/>
  <c r="R63" i="30"/>
  <c r="R39" i="30"/>
  <c r="R68" i="30"/>
  <c r="R87" i="30"/>
  <c r="R44" i="30"/>
  <c r="R34" i="30"/>
  <c r="D18" i="30"/>
  <c r="F17" i="30"/>
  <c r="C114" i="30"/>
  <c r="Q121" i="30"/>
  <c r="Q123" i="30" s="1"/>
  <c r="Q211" i="30" s="1"/>
  <c r="A189" i="30"/>
  <c r="A165" i="30"/>
  <c r="A141" i="30"/>
  <c r="A115" i="30"/>
  <c r="A189" i="29"/>
  <c r="A165" i="29"/>
  <c r="A141" i="29"/>
  <c r="A115" i="29"/>
  <c r="R175" i="29"/>
  <c r="R151" i="29"/>
  <c r="R127" i="29"/>
  <c r="R82" i="29"/>
  <c r="R58" i="29"/>
  <c r="R92" i="29"/>
  <c r="R39" i="29"/>
  <c r="R87" i="29"/>
  <c r="R63" i="29"/>
  <c r="R44" i="29"/>
  <c r="R34" i="29"/>
  <c r="R68" i="29"/>
  <c r="C113" i="29"/>
  <c r="P121" i="29"/>
  <c r="P123" i="29" s="1"/>
  <c r="P211" i="29" s="1"/>
  <c r="F16" i="29"/>
  <c r="D17" i="29"/>
  <c r="C114" i="27"/>
  <c r="Q121" i="27"/>
  <c r="Q123" i="27" s="1"/>
  <c r="Q211" i="27" s="1"/>
  <c r="F17" i="27"/>
  <c r="D18" i="27"/>
  <c r="Q102" i="27"/>
  <c r="R103" i="27" s="1"/>
  <c r="A189" i="27"/>
  <c r="A165" i="27"/>
  <c r="A141" i="27"/>
  <c r="A115" i="27"/>
  <c r="Q175" i="27"/>
  <c r="R100" i="27"/>
  <c r="Q82" i="27"/>
  <c r="Q63" i="27"/>
  <c r="Q58" i="27"/>
  <c r="Q87" i="27"/>
  <c r="Q151" i="27"/>
  <c r="Q127" i="27"/>
  <c r="Q44" i="27"/>
  <c r="Q34" i="27"/>
  <c r="Q39" i="27"/>
  <c r="Q92" i="27"/>
  <c r="Q68" i="27"/>
  <c r="O78" i="5"/>
  <c r="J34" i="5"/>
  <c r="J58" i="5"/>
  <c r="J44" i="5"/>
  <c r="J39" i="5"/>
  <c r="J68" i="5"/>
  <c r="J63" i="5"/>
  <c r="J92" i="5"/>
  <c r="J175" i="5"/>
  <c r="K100" i="5"/>
  <c r="J87" i="5"/>
  <c r="J127" i="5"/>
  <c r="J151" i="5"/>
  <c r="J82" i="5"/>
  <c r="R121" i="30" l="1"/>
  <c r="R123" i="30" s="1"/>
  <c r="R211" i="30" s="1"/>
  <c r="C115" i="30"/>
  <c r="F18" i="30"/>
  <c r="A142" i="30"/>
  <c r="A166" i="30"/>
  <c r="A190" i="30"/>
  <c r="Q121" i="29"/>
  <c r="Q123" i="29" s="1"/>
  <c r="Q211" i="29" s="1"/>
  <c r="F17" i="29"/>
  <c r="C114" i="29"/>
  <c r="D18" i="29"/>
  <c r="A190" i="29"/>
  <c r="A166" i="29"/>
  <c r="A142" i="29"/>
  <c r="R175" i="27"/>
  <c r="R151" i="27"/>
  <c r="R127" i="27"/>
  <c r="R87" i="27"/>
  <c r="R58" i="27"/>
  <c r="R39" i="27"/>
  <c r="R34" i="27"/>
  <c r="R44" i="27"/>
  <c r="R92" i="27"/>
  <c r="R68" i="27"/>
  <c r="R82" i="27"/>
  <c r="R63" i="27"/>
  <c r="A142" i="27"/>
  <c r="A190" i="27"/>
  <c r="A166" i="27"/>
  <c r="R102" i="27"/>
  <c r="R121" i="27"/>
  <c r="R123" i="27" s="1"/>
  <c r="R211" i="27" s="1"/>
  <c r="C115" i="27"/>
  <c r="F18" i="27"/>
  <c r="P78" i="5"/>
  <c r="K34" i="5"/>
  <c r="K58" i="5"/>
  <c r="K44" i="5"/>
  <c r="K39" i="5"/>
  <c r="K68" i="5"/>
  <c r="K63" i="5"/>
  <c r="K151" i="5"/>
  <c r="K82" i="5"/>
  <c r="K87" i="5"/>
  <c r="K175" i="5"/>
  <c r="K92" i="5"/>
  <c r="K127" i="5"/>
  <c r="L100" i="5"/>
  <c r="D4" i="5"/>
  <c r="D121" i="5" s="1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C115" i="29" l="1"/>
  <c r="F18" i="29"/>
  <c r="R121" i="29"/>
  <c r="Q78" i="5"/>
  <c r="L34" i="5"/>
  <c r="L58" i="5"/>
  <c r="L44" i="5"/>
  <c r="L39" i="5"/>
  <c r="L68" i="5"/>
  <c r="L63" i="5"/>
  <c r="L92" i="5"/>
  <c r="L87" i="5"/>
  <c r="L127" i="5"/>
  <c r="L82" i="5"/>
  <c r="L175" i="5"/>
  <c r="L151" i="5"/>
  <c r="M100" i="5"/>
  <c r="D5" i="5"/>
  <c r="C101" i="5"/>
  <c r="B141" i="5"/>
  <c r="B165" i="5" s="1"/>
  <c r="B189" i="5" s="1"/>
  <c r="B140" i="5"/>
  <c r="B164" i="5" s="1"/>
  <c r="B188" i="5" s="1"/>
  <c r="B139" i="5"/>
  <c r="B163" i="5" s="1"/>
  <c r="B187" i="5" s="1"/>
  <c r="B138" i="5"/>
  <c r="B162" i="5" s="1"/>
  <c r="B186" i="5" s="1"/>
  <c r="B137" i="5"/>
  <c r="B161" i="5" s="1"/>
  <c r="B185" i="5" s="1"/>
  <c r="B136" i="5"/>
  <c r="B160" i="5" s="1"/>
  <c r="B184" i="5" s="1"/>
  <c r="B135" i="5"/>
  <c r="B159" i="5" s="1"/>
  <c r="B183" i="5" s="1"/>
  <c r="B134" i="5"/>
  <c r="B158" i="5" s="1"/>
  <c r="B182" i="5" s="1"/>
  <c r="B133" i="5"/>
  <c r="B157" i="5" s="1"/>
  <c r="B181" i="5" s="1"/>
  <c r="B132" i="5"/>
  <c r="B156" i="5" s="1"/>
  <c r="B180" i="5" s="1"/>
  <c r="B131" i="5"/>
  <c r="B155" i="5" s="1"/>
  <c r="B179" i="5" s="1"/>
  <c r="B130" i="5"/>
  <c r="B154" i="5" s="1"/>
  <c r="B178" i="5" s="1"/>
  <c r="B129" i="5"/>
  <c r="B128" i="5"/>
  <c r="B152" i="5" s="1"/>
  <c r="B176" i="5" s="1"/>
  <c r="D123" i="5"/>
  <c r="D211" i="5" s="1"/>
  <c r="A102" i="5"/>
  <c r="F4" i="5"/>
  <c r="D20" i="6"/>
  <c r="D84" i="6" s="1"/>
  <c r="D100" i="6" s="1"/>
  <c r="D5" i="6"/>
  <c r="G135" i="6"/>
  <c r="G134" i="6"/>
  <c r="G133" i="6"/>
  <c r="G132" i="6"/>
  <c r="G127" i="6"/>
  <c r="G126" i="6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R123" i="29" l="1"/>
  <c r="R78" i="5"/>
  <c r="M34" i="5"/>
  <c r="M58" i="5"/>
  <c r="M44" i="5"/>
  <c r="M39" i="5"/>
  <c r="M68" i="5"/>
  <c r="M63" i="5"/>
  <c r="D126" i="6"/>
  <c r="M151" i="5"/>
  <c r="M127" i="5"/>
  <c r="M82" i="5"/>
  <c r="M175" i="5"/>
  <c r="N100" i="5"/>
  <c r="M87" i="5"/>
  <c r="M92" i="5"/>
  <c r="E121" i="5"/>
  <c r="E123" i="5" s="1"/>
  <c r="E211" i="5" s="1"/>
  <c r="A103" i="5"/>
  <c r="A129" i="5"/>
  <c r="A153" i="5"/>
  <c r="A177" i="5"/>
  <c r="B153" i="5"/>
  <c r="B177" i="5" s="1"/>
  <c r="G128" i="6"/>
  <c r="G129" i="6"/>
  <c r="G130" i="6"/>
  <c r="G131" i="6"/>
  <c r="D6" i="6"/>
  <c r="D70" i="6" s="1"/>
  <c r="D69" i="6"/>
  <c r="D37" i="6"/>
  <c r="D53" i="6"/>
  <c r="D6" i="5"/>
  <c r="C102" i="5"/>
  <c r="F5" i="5"/>
  <c r="D21" i="6"/>
  <c r="D85" i="6" s="1"/>
  <c r="E101" i="30" l="1"/>
  <c r="F101" i="30"/>
  <c r="F101" i="29"/>
  <c r="E101" i="29"/>
  <c r="E101" i="27"/>
  <c r="E117" i="27" s="1"/>
  <c r="E119" i="27" s="1"/>
  <c r="F101" i="27"/>
  <c r="F117" i="27" s="1"/>
  <c r="F119" i="27" s="1"/>
  <c r="F152" i="27"/>
  <c r="F128" i="29"/>
  <c r="E128" i="30"/>
  <c r="E152" i="30"/>
  <c r="F128" i="27"/>
  <c r="E128" i="27"/>
  <c r="E152" i="29"/>
  <c r="E128" i="29"/>
  <c r="F152" i="30"/>
  <c r="E152" i="27"/>
  <c r="F128" i="30"/>
  <c r="E176" i="30"/>
  <c r="E176" i="27"/>
  <c r="F176" i="27"/>
  <c r="E176" i="29"/>
  <c r="F176" i="29"/>
  <c r="F176" i="30"/>
  <c r="N34" i="5"/>
  <c r="N58" i="5"/>
  <c r="N44" i="5"/>
  <c r="N39" i="5"/>
  <c r="N68" i="5"/>
  <c r="N63" i="5"/>
  <c r="N82" i="5"/>
  <c r="D22" i="6"/>
  <c r="D86" i="6" s="1"/>
  <c r="N175" i="5"/>
  <c r="O100" i="5"/>
  <c r="D54" i="6"/>
  <c r="D7" i="6"/>
  <c r="D71" i="6" s="1"/>
  <c r="D38" i="6"/>
  <c r="N127" i="5"/>
  <c r="N151" i="5"/>
  <c r="N87" i="5"/>
  <c r="N92" i="5"/>
  <c r="C103" i="5"/>
  <c r="A104" i="5"/>
  <c r="A154" i="5"/>
  <c r="A178" i="5"/>
  <c r="A130" i="5"/>
  <c r="F6" i="5"/>
  <c r="F121" i="5"/>
  <c r="F123" i="5" s="1"/>
  <c r="F211" i="5" s="1"/>
  <c r="D7" i="5"/>
  <c r="D127" i="6"/>
  <c r="D101" i="6"/>
  <c r="D128" i="6"/>
  <c r="D102" i="6"/>
  <c r="F129" i="29" l="1"/>
  <c r="G130" i="29" s="1"/>
  <c r="H131" i="29" s="1"/>
  <c r="I132" i="29" s="1"/>
  <c r="J133" i="29" s="1"/>
  <c r="K134" i="29" s="1"/>
  <c r="L135" i="29" s="1"/>
  <c r="M136" i="29" s="1"/>
  <c r="N137" i="29" s="1"/>
  <c r="O138" i="29" s="1"/>
  <c r="P139" i="29" s="1"/>
  <c r="Q140" i="29" s="1"/>
  <c r="R141" i="29" s="1"/>
  <c r="G129" i="29"/>
  <c r="H130" i="29" s="1"/>
  <c r="I131" i="29" s="1"/>
  <c r="J132" i="29" s="1"/>
  <c r="K133" i="29" s="1"/>
  <c r="L134" i="29" s="1"/>
  <c r="M135" i="29" s="1"/>
  <c r="N136" i="29" s="1"/>
  <c r="O137" i="29" s="1"/>
  <c r="P138" i="29" s="1"/>
  <c r="Q139" i="29" s="1"/>
  <c r="R140" i="29" s="1"/>
  <c r="G102" i="29"/>
  <c r="H103" i="29" s="1"/>
  <c r="I104" i="29" s="1"/>
  <c r="J105" i="29" s="1"/>
  <c r="K106" i="29" s="1"/>
  <c r="L107" i="29" s="1"/>
  <c r="M108" i="29" s="1"/>
  <c r="N109" i="29" s="1"/>
  <c r="O110" i="29" s="1"/>
  <c r="P111" i="29" s="1"/>
  <c r="Q112" i="29" s="1"/>
  <c r="R113" i="29" s="1"/>
  <c r="G177" i="29"/>
  <c r="H178" i="29" s="1"/>
  <c r="I179" i="29" s="1"/>
  <c r="J180" i="29" s="1"/>
  <c r="K181" i="29" s="1"/>
  <c r="L182" i="29" s="1"/>
  <c r="M183" i="29" s="1"/>
  <c r="N184" i="29" s="1"/>
  <c r="O185" i="29" s="1"/>
  <c r="P186" i="29" s="1"/>
  <c r="Q187" i="29" s="1"/>
  <c r="R188" i="29" s="1"/>
  <c r="G177" i="27"/>
  <c r="H178" i="27" s="1"/>
  <c r="I179" i="27" s="1"/>
  <c r="J180" i="27" s="1"/>
  <c r="K181" i="27" s="1"/>
  <c r="L182" i="27" s="1"/>
  <c r="M183" i="27" s="1"/>
  <c r="N184" i="27" s="1"/>
  <c r="O185" i="27" s="1"/>
  <c r="P186" i="27" s="1"/>
  <c r="Q187" i="27" s="1"/>
  <c r="R188" i="27" s="1"/>
  <c r="F177" i="27"/>
  <c r="G178" i="27" s="1"/>
  <c r="H179" i="27" s="1"/>
  <c r="I180" i="27" s="1"/>
  <c r="J181" i="27" s="1"/>
  <c r="K182" i="27" s="1"/>
  <c r="L183" i="27" s="1"/>
  <c r="M184" i="27" s="1"/>
  <c r="N185" i="27" s="1"/>
  <c r="F177" i="30"/>
  <c r="G178" i="30" s="1"/>
  <c r="H179" i="30" s="1"/>
  <c r="I180" i="30" s="1"/>
  <c r="J181" i="30" s="1"/>
  <c r="K182" i="30" s="1"/>
  <c r="L183" i="30" s="1"/>
  <c r="M184" i="30" s="1"/>
  <c r="N185" i="30" s="1"/>
  <c r="F153" i="29"/>
  <c r="G154" i="29" s="1"/>
  <c r="H155" i="29" s="1"/>
  <c r="I156" i="29" s="1"/>
  <c r="J157" i="29" s="1"/>
  <c r="K158" i="29" s="1"/>
  <c r="L159" i="29" s="1"/>
  <c r="M160" i="29" s="1"/>
  <c r="N161" i="29" s="1"/>
  <c r="G129" i="27"/>
  <c r="H130" i="27" s="1"/>
  <c r="I131" i="27" s="1"/>
  <c r="J132" i="27" s="1"/>
  <c r="K133" i="27" s="1"/>
  <c r="L134" i="27" s="1"/>
  <c r="M135" i="27" s="1"/>
  <c r="N136" i="27" s="1"/>
  <c r="O137" i="27" s="1"/>
  <c r="P138" i="27" s="1"/>
  <c r="Q139" i="27" s="1"/>
  <c r="R140" i="27" s="1"/>
  <c r="G128" i="29"/>
  <c r="F122" i="27"/>
  <c r="F208" i="27"/>
  <c r="F125" i="27"/>
  <c r="G102" i="30"/>
  <c r="H103" i="30" s="1"/>
  <c r="I104" i="30" s="1"/>
  <c r="J105" i="30" s="1"/>
  <c r="K106" i="30" s="1"/>
  <c r="L107" i="30" s="1"/>
  <c r="M108" i="30" s="1"/>
  <c r="N109" i="30" s="1"/>
  <c r="O110" i="30" s="1"/>
  <c r="P111" i="30" s="1"/>
  <c r="Q112" i="30" s="1"/>
  <c r="R113" i="30" s="1"/>
  <c r="G176" i="27"/>
  <c r="G176" i="29"/>
  <c r="G176" i="30"/>
  <c r="F152" i="29"/>
  <c r="F153" i="27"/>
  <c r="G154" i="27" s="1"/>
  <c r="H155" i="27" s="1"/>
  <c r="I156" i="27" s="1"/>
  <c r="J157" i="27" s="1"/>
  <c r="K158" i="27" s="1"/>
  <c r="L159" i="27" s="1"/>
  <c r="M160" i="27" s="1"/>
  <c r="N161" i="27" s="1"/>
  <c r="G101" i="29"/>
  <c r="F102" i="30"/>
  <c r="G103" i="30" s="1"/>
  <c r="H104" i="30" s="1"/>
  <c r="I105" i="30" s="1"/>
  <c r="J106" i="30" s="1"/>
  <c r="K107" i="30" s="1"/>
  <c r="L108" i="30" s="1"/>
  <c r="M109" i="30" s="1"/>
  <c r="N110" i="30" s="1"/>
  <c r="O111" i="30" s="1"/>
  <c r="P112" i="30" s="1"/>
  <c r="Q113" i="30" s="1"/>
  <c r="R114" i="30" s="1"/>
  <c r="G177" i="30"/>
  <c r="H178" i="30" s="1"/>
  <c r="I179" i="30" s="1"/>
  <c r="J180" i="30" s="1"/>
  <c r="K181" i="30" s="1"/>
  <c r="L182" i="30" s="1"/>
  <c r="M183" i="30" s="1"/>
  <c r="N184" i="30" s="1"/>
  <c r="O185" i="30" s="1"/>
  <c r="P186" i="30" s="1"/>
  <c r="Q187" i="30" s="1"/>
  <c r="R188" i="30" s="1"/>
  <c r="G129" i="30"/>
  <c r="H130" i="30" s="1"/>
  <c r="I131" i="30" s="1"/>
  <c r="J132" i="30" s="1"/>
  <c r="K133" i="30" s="1"/>
  <c r="L134" i="30" s="1"/>
  <c r="M135" i="30" s="1"/>
  <c r="N136" i="30" s="1"/>
  <c r="O137" i="30" s="1"/>
  <c r="P138" i="30" s="1"/>
  <c r="Q139" i="30" s="1"/>
  <c r="R140" i="30" s="1"/>
  <c r="G153" i="30"/>
  <c r="H154" i="30" s="1"/>
  <c r="I155" i="30" s="1"/>
  <c r="J156" i="30" s="1"/>
  <c r="K157" i="30" s="1"/>
  <c r="L158" i="30" s="1"/>
  <c r="M159" i="30" s="1"/>
  <c r="N160" i="30" s="1"/>
  <c r="O161" i="30" s="1"/>
  <c r="P162" i="30" s="1"/>
  <c r="Q163" i="30" s="1"/>
  <c r="R164" i="30" s="1"/>
  <c r="G153" i="27"/>
  <c r="H154" i="27" s="1"/>
  <c r="I155" i="27" s="1"/>
  <c r="J156" i="27" s="1"/>
  <c r="K157" i="27" s="1"/>
  <c r="L158" i="27" s="1"/>
  <c r="M159" i="27" s="1"/>
  <c r="N160" i="27" s="1"/>
  <c r="O161" i="27" s="1"/>
  <c r="P162" i="27" s="1"/>
  <c r="Q163" i="27" s="1"/>
  <c r="R164" i="27" s="1"/>
  <c r="G152" i="29"/>
  <c r="F129" i="30"/>
  <c r="G130" i="30" s="1"/>
  <c r="H131" i="30" s="1"/>
  <c r="I132" i="30" s="1"/>
  <c r="J133" i="30" s="1"/>
  <c r="K134" i="30" s="1"/>
  <c r="L135" i="30" s="1"/>
  <c r="M136" i="30" s="1"/>
  <c r="N137" i="30" s="1"/>
  <c r="O138" i="30" s="1"/>
  <c r="P139" i="30" s="1"/>
  <c r="Q140" i="30" s="1"/>
  <c r="R141" i="30" s="1"/>
  <c r="G152" i="27"/>
  <c r="G101" i="27"/>
  <c r="G117" i="27" s="1"/>
  <c r="G119" i="27" s="1"/>
  <c r="E122" i="27"/>
  <c r="E208" i="27"/>
  <c r="E125" i="27"/>
  <c r="F153" i="30"/>
  <c r="G154" i="30" s="1"/>
  <c r="H155" i="30" s="1"/>
  <c r="I156" i="30" s="1"/>
  <c r="J157" i="30" s="1"/>
  <c r="K158" i="30" s="1"/>
  <c r="L159" i="30" s="1"/>
  <c r="M160" i="30" s="1"/>
  <c r="N161" i="30" s="1"/>
  <c r="O162" i="30" s="1"/>
  <c r="G152" i="30"/>
  <c r="G101" i="30"/>
  <c r="F177" i="29"/>
  <c r="G178" i="29" s="1"/>
  <c r="H179" i="29" s="1"/>
  <c r="I180" i="29" s="1"/>
  <c r="J181" i="29" s="1"/>
  <c r="K182" i="29" s="1"/>
  <c r="L183" i="29" s="1"/>
  <c r="M184" i="29" s="1"/>
  <c r="N185" i="29" s="1"/>
  <c r="G128" i="30"/>
  <c r="H152" i="29"/>
  <c r="F129" i="27"/>
  <c r="G130" i="27" s="1"/>
  <c r="H131" i="27" s="1"/>
  <c r="I132" i="27" s="1"/>
  <c r="J133" i="27" s="1"/>
  <c r="K134" i="27" s="1"/>
  <c r="L135" i="27" s="1"/>
  <c r="M136" i="27" s="1"/>
  <c r="N137" i="27" s="1"/>
  <c r="O138" i="27" s="1"/>
  <c r="P139" i="27" s="1"/>
  <c r="Q140" i="27" s="1"/>
  <c r="R141" i="27" s="1"/>
  <c r="G128" i="27"/>
  <c r="F102" i="29"/>
  <c r="G103" i="29" s="1"/>
  <c r="H104" i="29" s="1"/>
  <c r="I105" i="29" s="1"/>
  <c r="J106" i="29" s="1"/>
  <c r="K107" i="29" s="1"/>
  <c r="L108" i="29" s="1"/>
  <c r="M109" i="29" s="1"/>
  <c r="N110" i="29" s="1"/>
  <c r="O111" i="29" s="1"/>
  <c r="P112" i="29" s="1"/>
  <c r="Q113" i="29" s="1"/>
  <c r="R114" i="29" s="1"/>
  <c r="O162" i="29"/>
  <c r="O162" i="27"/>
  <c r="O44" i="5"/>
  <c r="O39" i="5"/>
  <c r="O68" i="5"/>
  <c r="O63" i="5"/>
  <c r="O34" i="5"/>
  <c r="O58" i="5"/>
  <c r="D8" i="6"/>
  <c r="D72" i="6" s="1"/>
  <c r="O127" i="5"/>
  <c r="O175" i="5"/>
  <c r="O92" i="5"/>
  <c r="P100" i="5"/>
  <c r="O82" i="5"/>
  <c r="O151" i="5"/>
  <c r="O87" i="5"/>
  <c r="D39" i="6"/>
  <c r="D23" i="6"/>
  <c r="D87" i="6" s="1"/>
  <c r="D129" i="6" s="1"/>
  <c r="D55" i="6"/>
  <c r="D8" i="5"/>
  <c r="A105" i="5"/>
  <c r="A179" i="5"/>
  <c r="A131" i="5"/>
  <c r="A155" i="5"/>
  <c r="F7" i="5"/>
  <c r="C104" i="5"/>
  <c r="D40" i="6"/>
  <c r="F128" i="5"/>
  <c r="G129" i="5" s="1"/>
  <c r="H130" i="5" s="1"/>
  <c r="I131" i="5" s="1"/>
  <c r="J132" i="5" s="1"/>
  <c r="K133" i="5" s="1"/>
  <c r="L134" i="5" s="1"/>
  <c r="M135" i="5" s="1"/>
  <c r="N136" i="5" s="1"/>
  <c r="O137" i="5" s="1"/>
  <c r="P138" i="5" s="1"/>
  <c r="Q139" i="5" s="1"/>
  <c r="R140" i="5" s="1"/>
  <c r="E128" i="5"/>
  <c r="F129" i="5" s="1"/>
  <c r="G130" i="5" s="1"/>
  <c r="H131" i="5" s="1"/>
  <c r="I132" i="5" s="1"/>
  <c r="J133" i="5" s="1"/>
  <c r="K134" i="5" s="1"/>
  <c r="L135" i="5" s="1"/>
  <c r="M136" i="5" s="1"/>
  <c r="N137" i="5" s="1"/>
  <c r="O138" i="5" s="1"/>
  <c r="P139" i="5" s="1"/>
  <c r="Q140" i="5" s="1"/>
  <c r="R141" i="5" s="1"/>
  <c r="F101" i="5"/>
  <c r="G102" i="5" s="1"/>
  <c r="H103" i="5" s="1"/>
  <c r="I104" i="5" s="1"/>
  <c r="J105" i="5" s="1"/>
  <c r="K106" i="5" s="1"/>
  <c r="L107" i="5" s="1"/>
  <c r="M108" i="5" s="1"/>
  <c r="N109" i="5" s="1"/>
  <c r="O110" i="5" s="1"/>
  <c r="P111" i="5" s="1"/>
  <c r="Q112" i="5" s="1"/>
  <c r="R113" i="5" s="1"/>
  <c r="E101" i="5"/>
  <c r="F102" i="5" s="1"/>
  <c r="G103" i="5" s="1"/>
  <c r="H104" i="5" s="1"/>
  <c r="I105" i="5" s="1"/>
  <c r="J106" i="5" s="1"/>
  <c r="K107" i="5" s="1"/>
  <c r="L108" i="5" s="1"/>
  <c r="M109" i="5" s="1"/>
  <c r="N110" i="5" s="1"/>
  <c r="O111" i="5" s="1"/>
  <c r="P112" i="5" s="1"/>
  <c r="Q113" i="5" s="1"/>
  <c r="R114" i="5" s="1"/>
  <c r="G121" i="5"/>
  <c r="G123" i="5" s="1"/>
  <c r="G211" i="5" s="1"/>
  <c r="F152" i="5"/>
  <c r="G153" i="5" s="1"/>
  <c r="H154" i="5" s="1"/>
  <c r="I155" i="5" s="1"/>
  <c r="J156" i="5" s="1"/>
  <c r="K157" i="5" s="1"/>
  <c r="L158" i="5" s="1"/>
  <c r="M159" i="5" s="1"/>
  <c r="N160" i="5" s="1"/>
  <c r="O161" i="5" s="1"/>
  <c r="P162" i="5" s="1"/>
  <c r="Q163" i="5" s="1"/>
  <c r="R164" i="5" s="1"/>
  <c r="E152" i="5"/>
  <c r="F153" i="5" s="1"/>
  <c r="G154" i="5" s="1"/>
  <c r="H155" i="5" s="1"/>
  <c r="I156" i="5" s="1"/>
  <c r="J157" i="5" s="1"/>
  <c r="K158" i="5" s="1"/>
  <c r="L159" i="5" s="1"/>
  <c r="M160" i="5" s="1"/>
  <c r="N161" i="5" s="1"/>
  <c r="O162" i="5" s="1"/>
  <c r="P163" i="5" s="1"/>
  <c r="Q164" i="5" s="1"/>
  <c r="R165" i="5" s="1"/>
  <c r="D9" i="6"/>
  <c r="D73" i="6" s="1"/>
  <c r="D24" i="6"/>
  <c r="D88" i="6" s="1"/>
  <c r="I153" i="29" l="1"/>
  <c r="J154" i="29" s="1"/>
  <c r="K155" i="29" s="1"/>
  <c r="L156" i="29" s="1"/>
  <c r="M157" i="29" s="1"/>
  <c r="N158" i="29" s="1"/>
  <c r="O159" i="29" s="1"/>
  <c r="P160" i="29" s="1"/>
  <c r="Q161" i="29" s="1"/>
  <c r="R162" i="29" s="1"/>
  <c r="H177" i="30"/>
  <c r="I178" i="30" s="1"/>
  <c r="J179" i="30" s="1"/>
  <c r="K180" i="30" s="1"/>
  <c r="L181" i="30" s="1"/>
  <c r="M182" i="30" s="1"/>
  <c r="N183" i="30" s="1"/>
  <c r="O184" i="30" s="1"/>
  <c r="P185" i="30" s="1"/>
  <c r="Q186" i="30" s="1"/>
  <c r="R187" i="30" s="1"/>
  <c r="E4" i="28"/>
  <c r="F213" i="27"/>
  <c r="H176" i="29"/>
  <c r="H128" i="27"/>
  <c r="H129" i="30"/>
  <c r="I130" i="30" s="1"/>
  <c r="J131" i="30" s="1"/>
  <c r="K132" i="30" s="1"/>
  <c r="L133" i="30" s="1"/>
  <c r="M134" i="30" s="1"/>
  <c r="N135" i="30" s="1"/>
  <c r="O136" i="30" s="1"/>
  <c r="P137" i="30" s="1"/>
  <c r="Q138" i="30" s="1"/>
  <c r="R139" i="30" s="1"/>
  <c r="H102" i="30"/>
  <c r="I103" i="30" s="1"/>
  <c r="J104" i="30" s="1"/>
  <c r="K105" i="30" s="1"/>
  <c r="L106" i="30" s="1"/>
  <c r="M107" i="30" s="1"/>
  <c r="N108" i="30" s="1"/>
  <c r="O109" i="30" s="1"/>
  <c r="P110" i="30" s="1"/>
  <c r="Q111" i="30" s="1"/>
  <c r="R112" i="30" s="1"/>
  <c r="H152" i="30"/>
  <c r="H176" i="30"/>
  <c r="H177" i="27"/>
  <c r="I178" i="27" s="1"/>
  <c r="J179" i="27" s="1"/>
  <c r="K180" i="27" s="1"/>
  <c r="L181" i="27" s="1"/>
  <c r="M182" i="27" s="1"/>
  <c r="N183" i="27" s="1"/>
  <c r="O184" i="27" s="1"/>
  <c r="P185" i="27" s="1"/>
  <c r="Q186" i="27" s="1"/>
  <c r="R187" i="27" s="1"/>
  <c r="H128" i="30"/>
  <c r="H101" i="29"/>
  <c r="H101" i="30"/>
  <c r="H129" i="27"/>
  <c r="I130" i="27" s="1"/>
  <c r="J131" i="27" s="1"/>
  <c r="K132" i="27" s="1"/>
  <c r="L133" i="27" s="1"/>
  <c r="M134" i="27" s="1"/>
  <c r="N135" i="27" s="1"/>
  <c r="O136" i="27" s="1"/>
  <c r="P137" i="27" s="1"/>
  <c r="Q138" i="27" s="1"/>
  <c r="R139" i="27" s="1"/>
  <c r="D56" i="6"/>
  <c r="D4" i="28"/>
  <c r="E213" i="27"/>
  <c r="H153" i="27"/>
  <c r="I154" i="27" s="1"/>
  <c r="J155" i="27" s="1"/>
  <c r="K156" i="27" s="1"/>
  <c r="L157" i="27" s="1"/>
  <c r="M158" i="27" s="1"/>
  <c r="N159" i="27" s="1"/>
  <c r="O160" i="27" s="1"/>
  <c r="P161" i="27" s="1"/>
  <c r="Q162" i="27" s="1"/>
  <c r="R163" i="27" s="1"/>
  <c r="H128" i="29"/>
  <c r="H176" i="27"/>
  <c r="H101" i="27"/>
  <c r="H117" i="27" s="1"/>
  <c r="H119" i="27" s="1"/>
  <c r="H102" i="29"/>
  <c r="I103" i="29" s="1"/>
  <c r="J104" i="29" s="1"/>
  <c r="K105" i="29" s="1"/>
  <c r="L106" i="29" s="1"/>
  <c r="M107" i="29" s="1"/>
  <c r="N108" i="29" s="1"/>
  <c r="O109" i="29" s="1"/>
  <c r="P110" i="29" s="1"/>
  <c r="Q111" i="29" s="1"/>
  <c r="R112" i="29" s="1"/>
  <c r="H153" i="30"/>
  <c r="I154" i="30" s="1"/>
  <c r="J155" i="30" s="1"/>
  <c r="K156" i="30" s="1"/>
  <c r="L157" i="30" s="1"/>
  <c r="M158" i="30" s="1"/>
  <c r="N159" i="30" s="1"/>
  <c r="O160" i="30" s="1"/>
  <c r="P161" i="30" s="1"/>
  <c r="Q162" i="30" s="1"/>
  <c r="R163" i="30" s="1"/>
  <c r="H153" i="29"/>
  <c r="I154" i="29" s="1"/>
  <c r="J155" i="29" s="1"/>
  <c r="K156" i="29" s="1"/>
  <c r="L157" i="29" s="1"/>
  <c r="M158" i="29" s="1"/>
  <c r="N159" i="29" s="1"/>
  <c r="O160" i="29" s="1"/>
  <c r="P161" i="29" s="1"/>
  <c r="Q162" i="29" s="1"/>
  <c r="R163" i="29" s="1"/>
  <c r="I152" i="30"/>
  <c r="G153" i="29"/>
  <c r="H154" i="29" s="1"/>
  <c r="I155" i="29" s="1"/>
  <c r="J156" i="29" s="1"/>
  <c r="K157" i="29" s="1"/>
  <c r="L158" i="29" s="1"/>
  <c r="M159" i="29" s="1"/>
  <c r="N160" i="29" s="1"/>
  <c r="O161" i="29" s="1"/>
  <c r="P162" i="29" s="1"/>
  <c r="Q163" i="29" s="1"/>
  <c r="R164" i="29" s="1"/>
  <c r="H177" i="29"/>
  <c r="I178" i="29" s="1"/>
  <c r="J179" i="29" s="1"/>
  <c r="K180" i="29" s="1"/>
  <c r="L181" i="29" s="1"/>
  <c r="M182" i="29" s="1"/>
  <c r="N183" i="29" s="1"/>
  <c r="O184" i="29" s="1"/>
  <c r="P185" i="29" s="1"/>
  <c r="Q186" i="29" s="1"/>
  <c r="R187" i="29" s="1"/>
  <c r="G122" i="27"/>
  <c r="G208" i="27"/>
  <c r="G125" i="27"/>
  <c r="H152" i="27"/>
  <c r="H129" i="29"/>
  <c r="I130" i="29" s="1"/>
  <c r="J131" i="29" s="1"/>
  <c r="K132" i="29" s="1"/>
  <c r="L133" i="29" s="1"/>
  <c r="M134" i="29" s="1"/>
  <c r="N135" i="29" s="1"/>
  <c r="O136" i="29" s="1"/>
  <c r="P137" i="29" s="1"/>
  <c r="Q138" i="29" s="1"/>
  <c r="R139" i="29" s="1"/>
  <c r="P163" i="30"/>
  <c r="P163" i="29"/>
  <c r="O186" i="27"/>
  <c r="O186" i="30"/>
  <c r="O186" i="29"/>
  <c r="P163" i="27"/>
  <c r="P87" i="5"/>
  <c r="P39" i="5"/>
  <c r="P34" i="5"/>
  <c r="P58" i="5"/>
  <c r="P44" i="5"/>
  <c r="P68" i="5"/>
  <c r="P63" i="5"/>
  <c r="D103" i="6"/>
  <c r="G101" i="5"/>
  <c r="H102" i="5" s="1"/>
  <c r="I103" i="5" s="1"/>
  <c r="J104" i="5" s="1"/>
  <c r="K105" i="5" s="1"/>
  <c r="L106" i="5" s="1"/>
  <c r="M107" i="5" s="1"/>
  <c r="N108" i="5" s="1"/>
  <c r="O109" i="5" s="1"/>
  <c r="P110" i="5" s="1"/>
  <c r="Q111" i="5" s="1"/>
  <c r="R112" i="5" s="1"/>
  <c r="G128" i="5"/>
  <c r="H129" i="5" s="1"/>
  <c r="I130" i="5" s="1"/>
  <c r="J131" i="5" s="1"/>
  <c r="K132" i="5" s="1"/>
  <c r="L133" i="5" s="1"/>
  <c r="M134" i="5" s="1"/>
  <c r="N135" i="5" s="1"/>
  <c r="O136" i="5" s="1"/>
  <c r="P137" i="5" s="1"/>
  <c r="Q138" i="5" s="1"/>
  <c r="R139" i="5" s="1"/>
  <c r="Q100" i="5"/>
  <c r="P151" i="5"/>
  <c r="P92" i="5"/>
  <c r="P127" i="5"/>
  <c r="P82" i="5"/>
  <c r="P175" i="5"/>
  <c r="H121" i="5"/>
  <c r="H123" i="5" s="1"/>
  <c r="H211" i="5" s="1"/>
  <c r="D9" i="5"/>
  <c r="I121" i="5" s="1"/>
  <c r="I123" i="5" s="1"/>
  <c r="I211" i="5" s="1"/>
  <c r="C105" i="5"/>
  <c r="F8" i="5"/>
  <c r="A106" i="5"/>
  <c r="A132" i="5"/>
  <c r="A156" i="5"/>
  <c r="A180" i="5"/>
  <c r="D41" i="6"/>
  <c r="D57" i="6"/>
  <c r="G152" i="5"/>
  <c r="H153" i="5" s="1"/>
  <c r="I154" i="5" s="1"/>
  <c r="J155" i="5" s="1"/>
  <c r="K156" i="5" s="1"/>
  <c r="L157" i="5" s="1"/>
  <c r="M158" i="5" s="1"/>
  <c r="N159" i="5" s="1"/>
  <c r="O160" i="5" s="1"/>
  <c r="P161" i="5" s="1"/>
  <c r="Q162" i="5" s="1"/>
  <c r="R163" i="5" s="1"/>
  <c r="D130" i="6"/>
  <c r="D104" i="6"/>
  <c r="F176" i="5"/>
  <c r="G177" i="5" s="1"/>
  <c r="H178" i="5" s="1"/>
  <c r="I179" i="5" s="1"/>
  <c r="J180" i="5" s="1"/>
  <c r="K181" i="5" s="1"/>
  <c r="L182" i="5" s="1"/>
  <c r="M183" i="5" s="1"/>
  <c r="N184" i="5" s="1"/>
  <c r="O185" i="5" s="1"/>
  <c r="P186" i="5" s="1"/>
  <c r="Q187" i="5" s="1"/>
  <c r="R188" i="5" s="1"/>
  <c r="E176" i="5"/>
  <c r="F177" i="5" s="1"/>
  <c r="G178" i="5" s="1"/>
  <c r="H179" i="5" s="1"/>
  <c r="I180" i="5" s="1"/>
  <c r="J181" i="5" s="1"/>
  <c r="K182" i="5" s="1"/>
  <c r="L183" i="5" s="1"/>
  <c r="M184" i="5" s="1"/>
  <c r="N185" i="5" s="1"/>
  <c r="O186" i="5" s="1"/>
  <c r="P187" i="5" s="1"/>
  <c r="Q188" i="5" s="1"/>
  <c r="R189" i="5" s="1"/>
  <c r="G176" i="5"/>
  <c r="H177" i="5" s="1"/>
  <c r="I178" i="5" s="1"/>
  <c r="J179" i="5" s="1"/>
  <c r="K180" i="5" s="1"/>
  <c r="L181" i="5" s="1"/>
  <c r="M182" i="5" s="1"/>
  <c r="N183" i="5" s="1"/>
  <c r="O184" i="5" s="1"/>
  <c r="P185" i="5" s="1"/>
  <c r="Q186" i="5" s="1"/>
  <c r="R187" i="5" s="1"/>
  <c r="D10" i="6"/>
  <c r="D74" i="6" s="1"/>
  <c r="D25" i="6"/>
  <c r="D89" i="6" s="1"/>
  <c r="I128" i="29" l="1"/>
  <c r="I102" i="29"/>
  <c r="J103" i="29" s="1"/>
  <c r="K104" i="29" s="1"/>
  <c r="L105" i="29" s="1"/>
  <c r="M106" i="29" s="1"/>
  <c r="N107" i="29" s="1"/>
  <c r="O108" i="29" s="1"/>
  <c r="P109" i="29" s="1"/>
  <c r="Q110" i="29" s="1"/>
  <c r="R111" i="29" s="1"/>
  <c r="I129" i="27"/>
  <c r="J130" i="27" s="1"/>
  <c r="K131" i="27" s="1"/>
  <c r="L132" i="27" s="1"/>
  <c r="M133" i="27" s="1"/>
  <c r="N134" i="27" s="1"/>
  <c r="O135" i="27" s="1"/>
  <c r="P136" i="27" s="1"/>
  <c r="Q137" i="27" s="1"/>
  <c r="R138" i="27" s="1"/>
  <c r="I129" i="29"/>
  <c r="J130" i="29" s="1"/>
  <c r="K131" i="29" s="1"/>
  <c r="L132" i="29" s="1"/>
  <c r="M133" i="29" s="1"/>
  <c r="N134" i="29" s="1"/>
  <c r="O135" i="29" s="1"/>
  <c r="P136" i="29" s="1"/>
  <c r="Q137" i="29" s="1"/>
  <c r="R138" i="29" s="1"/>
  <c r="I176" i="30"/>
  <c r="I177" i="29"/>
  <c r="J178" i="29" s="1"/>
  <c r="K179" i="29" s="1"/>
  <c r="L180" i="29" s="1"/>
  <c r="M181" i="29" s="1"/>
  <c r="N182" i="29" s="1"/>
  <c r="O183" i="29" s="1"/>
  <c r="P184" i="29" s="1"/>
  <c r="Q185" i="29" s="1"/>
  <c r="R186" i="29" s="1"/>
  <c r="J153" i="30"/>
  <c r="K154" i="30" s="1"/>
  <c r="L155" i="30" s="1"/>
  <c r="M156" i="30" s="1"/>
  <c r="N157" i="30" s="1"/>
  <c r="O158" i="30" s="1"/>
  <c r="P159" i="30" s="1"/>
  <c r="Q160" i="30" s="1"/>
  <c r="R161" i="30" s="1"/>
  <c r="I128" i="30"/>
  <c r="I101" i="30"/>
  <c r="I153" i="30"/>
  <c r="J154" i="30" s="1"/>
  <c r="K155" i="30" s="1"/>
  <c r="L156" i="30" s="1"/>
  <c r="M157" i="30" s="1"/>
  <c r="N158" i="30" s="1"/>
  <c r="O159" i="30" s="1"/>
  <c r="P160" i="30" s="1"/>
  <c r="Q161" i="30" s="1"/>
  <c r="R162" i="30" s="1"/>
  <c r="F4" i="28"/>
  <c r="G213" i="27"/>
  <c r="I101" i="29"/>
  <c r="I177" i="27"/>
  <c r="J178" i="27" s="1"/>
  <c r="K179" i="27" s="1"/>
  <c r="L180" i="27" s="1"/>
  <c r="M181" i="27" s="1"/>
  <c r="N182" i="27" s="1"/>
  <c r="O183" i="27" s="1"/>
  <c r="P184" i="27" s="1"/>
  <c r="Q185" i="27" s="1"/>
  <c r="R186" i="27" s="1"/>
  <c r="I176" i="27"/>
  <c r="I102" i="30"/>
  <c r="J103" i="30" s="1"/>
  <c r="K104" i="30" s="1"/>
  <c r="L105" i="30" s="1"/>
  <c r="M106" i="30" s="1"/>
  <c r="N107" i="30" s="1"/>
  <c r="O108" i="30" s="1"/>
  <c r="P109" i="30" s="1"/>
  <c r="Q110" i="30" s="1"/>
  <c r="R111" i="30" s="1"/>
  <c r="I129" i="30"/>
  <c r="J130" i="30" s="1"/>
  <c r="K131" i="30" s="1"/>
  <c r="L132" i="30" s="1"/>
  <c r="M133" i="30" s="1"/>
  <c r="N134" i="30" s="1"/>
  <c r="O135" i="30" s="1"/>
  <c r="P136" i="30" s="1"/>
  <c r="Q137" i="30" s="1"/>
  <c r="R138" i="30" s="1"/>
  <c r="H176" i="5"/>
  <c r="I177" i="5" s="1"/>
  <c r="J178" i="5" s="1"/>
  <c r="K179" i="5" s="1"/>
  <c r="L180" i="5" s="1"/>
  <c r="M181" i="5" s="1"/>
  <c r="N182" i="5" s="1"/>
  <c r="O183" i="5" s="1"/>
  <c r="P184" i="5" s="1"/>
  <c r="Q185" i="5" s="1"/>
  <c r="R186" i="5" s="1"/>
  <c r="I176" i="29"/>
  <c r="I152" i="27"/>
  <c r="I152" i="29"/>
  <c r="I101" i="27"/>
  <c r="I117" i="27" s="1"/>
  <c r="I119" i="27" s="1"/>
  <c r="I153" i="27"/>
  <c r="J154" i="27" s="1"/>
  <c r="K155" i="27" s="1"/>
  <c r="L156" i="27" s="1"/>
  <c r="M157" i="27" s="1"/>
  <c r="N158" i="27" s="1"/>
  <c r="O159" i="27" s="1"/>
  <c r="P160" i="27" s="1"/>
  <c r="Q161" i="27" s="1"/>
  <c r="R162" i="27" s="1"/>
  <c r="I128" i="27"/>
  <c r="H125" i="27"/>
  <c r="H208" i="27"/>
  <c r="H122" i="27"/>
  <c r="I177" i="30"/>
  <c r="J178" i="30" s="1"/>
  <c r="K179" i="30" s="1"/>
  <c r="L180" i="30" s="1"/>
  <c r="M181" i="30" s="1"/>
  <c r="N182" i="30" s="1"/>
  <c r="O183" i="30" s="1"/>
  <c r="P184" i="30" s="1"/>
  <c r="Q185" i="30" s="1"/>
  <c r="R186" i="30" s="1"/>
  <c r="P187" i="29"/>
  <c r="Q164" i="30"/>
  <c r="P187" i="30"/>
  <c r="Q164" i="27"/>
  <c r="P187" i="27"/>
  <c r="Q164" i="29"/>
  <c r="Q92" i="5"/>
  <c r="Q34" i="5"/>
  <c r="Q58" i="5"/>
  <c r="Q44" i="5"/>
  <c r="Q39" i="5"/>
  <c r="Q68" i="5"/>
  <c r="Q63" i="5"/>
  <c r="R100" i="5"/>
  <c r="R175" i="5" s="1"/>
  <c r="Q151" i="5"/>
  <c r="Q175" i="5"/>
  <c r="Q127" i="5"/>
  <c r="Q87" i="5"/>
  <c r="Q82" i="5"/>
  <c r="C106" i="5"/>
  <c r="F9" i="5"/>
  <c r="D10" i="5"/>
  <c r="C107" i="5" s="1"/>
  <c r="A107" i="5"/>
  <c r="A181" i="5"/>
  <c r="A133" i="5"/>
  <c r="A157" i="5"/>
  <c r="D42" i="6"/>
  <c r="D58" i="6"/>
  <c r="H101" i="5"/>
  <c r="I102" i="5" s="1"/>
  <c r="J103" i="5" s="1"/>
  <c r="K104" i="5" s="1"/>
  <c r="L105" i="5" s="1"/>
  <c r="M106" i="5" s="1"/>
  <c r="N107" i="5" s="1"/>
  <c r="O108" i="5" s="1"/>
  <c r="P109" i="5" s="1"/>
  <c r="Q110" i="5" s="1"/>
  <c r="R111" i="5" s="1"/>
  <c r="H128" i="5"/>
  <c r="I129" i="5" s="1"/>
  <c r="J130" i="5" s="1"/>
  <c r="K131" i="5" s="1"/>
  <c r="L132" i="5" s="1"/>
  <c r="M133" i="5" s="1"/>
  <c r="N134" i="5" s="1"/>
  <c r="O135" i="5" s="1"/>
  <c r="P136" i="5" s="1"/>
  <c r="Q137" i="5" s="1"/>
  <c r="R138" i="5" s="1"/>
  <c r="H152" i="5"/>
  <c r="I153" i="5" s="1"/>
  <c r="J154" i="5" s="1"/>
  <c r="K155" i="5" s="1"/>
  <c r="L156" i="5" s="1"/>
  <c r="M157" i="5" s="1"/>
  <c r="N158" i="5" s="1"/>
  <c r="O159" i="5" s="1"/>
  <c r="P160" i="5" s="1"/>
  <c r="Q161" i="5" s="1"/>
  <c r="R162" i="5" s="1"/>
  <c r="D131" i="6"/>
  <c r="D105" i="6"/>
  <c r="D11" i="6"/>
  <c r="D75" i="6" s="1"/>
  <c r="D26" i="6"/>
  <c r="D90" i="6" s="1"/>
  <c r="G4" i="28" l="1"/>
  <c r="H213" i="27"/>
  <c r="J101" i="27"/>
  <c r="J117" i="27" s="1"/>
  <c r="J119" i="27" s="1"/>
  <c r="J177" i="29"/>
  <c r="K178" i="29" s="1"/>
  <c r="L179" i="29" s="1"/>
  <c r="M180" i="29" s="1"/>
  <c r="N181" i="29" s="1"/>
  <c r="O182" i="29" s="1"/>
  <c r="P183" i="29" s="1"/>
  <c r="Q184" i="29" s="1"/>
  <c r="R185" i="29" s="1"/>
  <c r="J128" i="30"/>
  <c r="J102" i="30"/>
  <c r="K103" i="30" s="1"/>
  <c r="L104" i="30" s="1"/>
  <c r="M105" i="30" s="1"/>
  <c r="N106" i="30" s="1"/>
  <c r="O107" i="30" s="1"/>
  <c r="P108" i="30" s="1"/>
  <c r="Q109" i="30" s="1"/>
  <c r="R110" i="30" s="1"/>
  <c r="J177" i="30"/>
  <c r="K178" i="30" s="1"/>
  <c r="L179" i="30" s="1"/>
  <c r="M180" i="30" s="1"/>
  <c r="N181" i="30" s="1"/>
  <c r="O182" i="30" s="1"/>
  <c r="P183" i="30" s="1"/>
  <c r="Q184" i="30" s="1"/>
  <c r="R185" i="30" s="1"/>
  <c r="J153" i="27"/>
  <c r="K154" i="27" s="1"/>
  <c r="L155" i="27" s="1"/>
  <c r="M156" i="27" s="1"/>
  <c r="N157" i="27" s="1"/>
  <c r="O158" i="27" s="1"/>
  <c r="P159" i="27" s="1"/>
  <c r="Q160" i="27" s="1"/>
  <c r="R161" i="27" s="1"/>
  <c r="J101" i="29"/>
  <c r="I122" i="27"/>
  <c r="I208" i="27"/>
  <c r="I125" i="27"/>
  <c r="J176" i="29"/>
  <c r="J152" i="30"/>
  <c r="I176" i="5"/>
  <c r="J177" i="5" s="1"/>
  <c r="K178" i="5" s="1"/>
  <c r="L179" i="5" s="1"/>
  <c r="M180" i="5" s="1"/>
  <c r="N181" i="5" s="1"/>
  <c r="O182" i="5" s="1"/>
  <c r="P183" i="5" s="1"/>
  <c r="Q184" i="5" s="1"/>
  <c r="R185" i="5" s="1"/>
  <c r="J176" i="30"/>
  <c r="J129" i="30"/>
  <c r="K130" i="30" s="1"/>
  <c r="L131" i="30" s="1"/>
  <c r="M132" i="30" s="1"/>
  <c r="N133" i="30" s="1"/>
  <c r="O134" i="30" s="1"/>
  <c r="P135" i="30" s="1"/>
  <c r="Q136" i="30" s="1"/>
  <c r="R137" i="30" s="1"/>
  <c r="J153" i="29"/>
  <c r="K154" i="29" s="1"/>
  <c r="L155" i="29" s="1"/>
  <c r="M156" i="29" s="1"/>
  <c r="N157" i="29" s="1"/>
  <c r="O158" i="29" s="1"/>
  <c r="P159" i="29" s="1"/>
  <c r="Q160" i="29" s="1"/>
  <c r="R161" i="29" s="1"/>
  <c r="J152" i="27"/>
  <c r="J128" i="29"/>
  <c r="J129" i="27"/>
  <c r="K130" i="27" s="1"/>
  <c r="L131" i="27" s="1"/>
  <c r="M132" i="27" s="1"/>
  <c r="N133" i="27" s="1"/>
  <c r="O134" i="27" s="1"/>
  <c r="P135" i="27" s="1"/>
  <c r="Q136" i="27" s="1"/>
  <c r="R137" i="27" s="1"/>
  <c r="J177" i="27"/>
  <c r="K178" i="27" s="1"/>
  <c r="L179" i="27" s="1"/>
  <c r="M180" i="27" s="1"/>
  <c r="N181" i="27" s="1"/>
  <c r="O182" i="27" s="1"/>
  <c r="P183" i="27" s="1"/>
  <c r="Q184" i="27" s="1"/>
  <c r="R185" i="27" s="1"/>
  <c r="J176" i="27"/>
  <c r="J152" i="29"/>
  <c r="J101" i="30"/>
  <c r="J102" i="29"/>
  <c r="K103" i="29" s="1"/>
  <c r="L104" i="29" s="1"/>
  <c r="M105" i="29" s="1"/>
  <c r="N106" i="29" s="1"/>
  <c r="O107" i="29" s="1"/>
  <c r="P108" i="29" s="1"/>
  <c r="Q109" i="29" s="1"/>
  <c r="R110" i="29" s="1"/>
  <c r="J129" i="29"/>
  <c r="K130" i="29" s="1"/>
  <c r="L131" i="29" s="1"/>
  <c r="M132" i="29" s="1"/>
  <c r="N133" i="29" s="1"/>
  <c r="O134" i="29" s="1"/>
  <c r="P135" i="29" s="1"/>
  <c r="Q136" i="29" s="1"/>
  <c r="R137" i="29" s="1"/>
  <c r="Q188" i="29"/>
  <c r="R165" i="29"/>
  <c r="Q188" i="30"/>
  <c r="Q188" i="27"/>
  <c r="R165" i="27"/>
  <c r="R165" i="30"/>
  <c r="R127" i="5"/>
  <c r="R34" i="5"/>
  <c r="R58" i="5"/>
  <c r="R44" i="5"/>
  <c r="R39" i="5"/>
  <c r="R68" i="5"/>
  <c r="R63" i="5"/>
  <c r="R87" i="5"/>
  <c r="R82" i="5"/>
  <c r="R151" i="5"/>
  <c r="R92" i="5"/>
  <c r="F10" i="5"/>
  <c r="J121" i="5"/>
  <c r="J123" i="5" s="1"/>
  <c r="J211" i="5" s="1"/>
  <c r="D11" i="5"/>
  <c r="A108" i="5"/>
  <c r="A158" i="5"/>
  <c r="A134" i="5"/>
  <c r="A182" i="5"/>
  <c r="D43" i="6"/>
  <c r="D59" i="6"/>
  <c r="I101" i="5"/>
  <c r="J102" i="5" s="1"/>
  <c r="K103" i="5" s="1"/>
  <c r="L104" i="5" s="1"/>
  <c r="M105" i="5" s="1"/>
  <c r="N106" i="5" s="1"/>
  <c r="O107" i="5" s="1"/>
  <c r="P108" i="5" s="1"/>
  <c r="Q109" i="5" s="1"/>
  <c r="R110" i="5" s="1"/>
  <c r="I152" i="5"/>
  <c r="J153" i="5" s="1"/>
  <c r="K154" i="5" s="1"/>
  <c r="L155" i="5" s="1"/>
  <c r="M156" i="5" s="1"/>
  <c r="N157" i="5" s="1"/>
  <c r="O158" i="5" s="1"/>
  <c r="P159" i="5" s="1"/>
  <c r="Q160" i="5" s="1"/>
  <c r="R161" i="5" s="1"/>
  <c r="I128" i="5"/>
  <c r="J129" i="5" s="1"/>
  <c r="K130" i="5" s="1"/>
  <c r="L131" i="5" s="1"/>
  <c r="M132" i="5" s="1"/>
  <c r="N133" i="5" s="1"/>
  <c r="O134" i="5" s="1"/>
  <c r="P135" i="5" s="1"/>
  <c r="Q136" i="5" s="1"/>
  <c r="R137" i="5" s="1"/>
  <c r="D132" i="6"/>
  <c r="D106" i="6"/>
  <c r="D12" i="6"/>
  <c r="D76" i="6" s="1"/>
  <c r="D27" i="6"/>
  <c r="D91" i="6" s="1"/>
  <c r="K129" i="29" l="1"/>
  <c r="L130" i="29" s="1"/>
  <c r="M131" i="29" s="1"/>
  <c r="N132" i="29" s="1"/>
  <c r="O133" i="29" s="1"/>
  <c r="P134" i="29" s="1"/>
  <c r="Q135" i="29" s="1"/>
  <c r="R136" i="29" s="1"/>
  <c r="K129" i="30"/>
  <c r="L130" i="30" s="1"/>
  <c r="M131" i="30" s="1"/>
  <c r="N132" i="30" s="1"/>
  <c r="O133" i="30" s="1"/>
  <c r="P134" i="30" s="1"/>
  <c r="Q135" i="30" s="1"/>
  <c r="R136" i="30" s="1"/>
  <c r="J208" i="27"/>
  <c r="J122" i="27"/>
  <c r="J125" i="27"/>
  <c r="J152" i="5"/>
  <c r="K153" i="5" s="1"/>
  <c r="L154" i="5" s="1"/>
  <c r="M155" i="5" s="1"/>
  <c r="N156" i="5" s="1"/>
  <c r="O157" i="5" s="1"/>
  <c r="P158" i="5" s="1"/>
  <c r="Q159" i="5" s="1"/>
  <c r="R160" i="5" s="1"/>
  <c r="K177" i="30"/>
  <c r="L178" i="30" s="1"/>
  <c r="M179" i="30" s="1"/>
  <c r="N180" i="30" s="1"/>
  <c r="O181" i="30" s="1"/>
  <c r="P182" i="30" s="1"/>
  <c r="Q183" i="30" s="1"/>
  <c r="R184" i="30" s="1"/>
  <c r="K153" i="30"/>
  <c r="L154" i="30" s="1"/>
  <c r="M155" i="30" s="1"/>
  <c r="N156" i="30" s="1"/>
  <c r="O157" i="30" s="1"/>
  <c r="P158" i="30" s="1"/>
  <c r="Q159" i="30" s="1"/>
  <c r="R160" i="30" s="1"/>
  <c r="H4" i="28"/>
  <c r="I213" i="27"/>
  <c r="K153" i="27"/>
  <c r="L154" i="27" s="1"/>
  <c r="M155" i="27" s="1"/>
  <c r="N156" i="27" s="1"/>
  <c r="O157" i="27" s="1"/>
  <c r="P158" i="27" s="1"/>
  <c r="Q159" i="27" s="1"/>
  <c r="R160" i="27" s="1"/>
  <c r="K177" i="29"/>
  <c r="L178" i="29" s="1"/>
  <c r="M179" i="29" s="1"/>
  <c r="N180" i="29" s="1"/>
  <c r="O181" i="29" s="1"/>
  <c r="P182" i="29" s="1"/>
  <c r="Q183" i="29" s="1"/>
  <c r="R184" i="29" s="1"/>
  <c r="K102" i="30"/>
  <c r="L103" i="30" s="1"/>
  <c r="M104" i="30" s="1"/>
  <c r="N105" i="30" s="1"/>
  <c r="O106" i="30" s="1"/>
  <c r="P107" i="30" s="1"/>
  <c r="Q108" i="30" s="1"/>
  <c r="R109" i="30" s="1"/>
  <c r="K177" i="27"/>
  <c r="L178" i="27" s="1"/>
  <c r="M179" i="27" s="1"/>
  <c r="N180" i="27" s="1"/>
  <c r="O181" i="27" s="1"/>
  <c r="P182" i="27" s="1"/>
  <c r="Q183" i="27" s="1"/>
  <c r="R184" i="27" s="1"/>
  <c r="K101" i="27"/>
  <c r="K117" i="27" s="1"/>
  <c r="K119" i="27" s="1"/>
  <c r="K152" i="29"/>
  <c r="K152" i="27"/>
  <c r="K153" i="29"/>
  <c r="L154" i="29" s="1"/>
  <c r="M155" i="29" s="1"/>
  <c r="N156" i="29" s="1"/>
  <c r="O157" i="29" s="1"/>
  <c r="P158" i="29" s="1"/>
  <c r="Q159" i="29" s="1"/>
  <c r="R160" i="29" s="1"/>
  <c r="K102" i="29"/>
  <c r="L103" i="29" s="1"/>
  <c r="M104" i="29" s="1"/>
  <c r="N105" i="29" s="1"/>
  <c r="O106" i="29" s="1"/>
  <c r="P107" i="29" s="1"/>
  <c r="Q108" i="29" s="1"/>
  <c r="R109" i="29" s="1"/>
  <c r="R189" i="29"/>
  <c r="R189" i="30"/>
  <c r="R189" i="27"/>
  <c r="K121" i="5"/>
  <c r="K123" i="5" s="1"/>
  <c r="K211" i="5" s="1"/>
  <c r="C108" i="5"/>
  <c r="D12" i="5"/>
  <c r="D13" i="5" s="1"/>
  <c r="F11" i="5"/>
  <c r="A109" i="5"/>
  <c r="A135" i="5"/>
  <c r="A159" i="5"/>
  <c r="A183" i="5"/>
  <c r="D44" i="6"/>
  <c r="D60" i="6"/>
  <c r="J176" i="5"/>
  <c r="K177" i="5" s="1"/>
  <c r="L178" i="5" s="1"/>
  <c r="M179" i="5" s="1"/>
  <c r="N180" i="5" s="1"/>
  <c r="O181" i="5" s="1"/>
  <c r="P182" i="5" s="1"/>
  <c r="Q183" i="5" s="1"/>
  <c r="R184" i="5" s="1"/>
  <c r="J101" i="5"/>
  <c r="K102" i="5" s="1"/>
  <c r="L103" i="5" s="1"/>
  <c r="M104" i="5" s="1"/>
  <c r="N105" i="5" s="1"/>
  <c r="O106" i="5" s="1"/>
  <c r="P107" i="5" s="1"/>
  <c r="Q108" i="5" s="1"/>
  <c r="R109" i="5" s="1"/>
  <c r="J128" i="5"/>
  <c r="K129" i="5" s="1"/>
  <c r="L130" i="5" s="1"/>
  <c r="M131" i="5" s="1"/>
  <c r="N132" i="5" s="1"/>
  <c r="O133" i="5" s="1"/>
  <c r="P134" i="5" s="1"/>
  <c r="Q135" i="5" s="1"/>
  <c r="R136" i="5" s="1"/>
  <c r="D133" i="6"/>
  <c r="D107" i="6"/>
  <c r="D13" i="6"/>
  <c r="D77" i="6" s="1"/>
  <c r="D28" i="6"/>
  <c r="D92" i="6" s="1"/>
  <c r="K208" i="27" l="1"/>
  <c r="K122" i="27"/>
  <c r="K125" i="27"/>
  <c r="I4" i="28"/>
  <c r="J213" i="27"/>
  <c r="L153" i="29"/>
  <c r="M154" i="29" s="1"/>
  <c r="N155" i="29" s="1"/>
  <c r="O156" i="29" s="1"/>
  <c r="P157" i="29" s="1"/>
  <c r="Q158" i="29" s="1"/>
  <c r="R159" i="29" s="1"/>
  <c r="K152" i="5"/>
  <c r="L153" i="5" s="1"/>
  <c r="M154" i="5" s="1"/>
  <c r="N155" i="5" s="1"/>
  <c r="O156" i="5" s="1"/>
  <c r="P157" i="5" s="1"/>
  <c r="Q158" i="5" s="1"/>
  <c r="R159" i="5" s="1"/>
  <c r="L153" i="27"/>
  <c r="M154" i="27" s="1"/>
  <c r="N155" i="27" s="1"/>
  <c r="O156" i="27" s="1"/>
  <c r="P157" i="27" s="1"/>
  <c r="Q158" i="27" s="1"/>
  <c r="R159" i="27" s="1"/>
  <c r="C110" i="5"/>
  <c r="F13" i="5"/>
  <c r="D14" i="5"/>
  <c r="M121" i="5"/>
  <c r="M123" i="5" s="1"/>
  <c r="M211" i="5" s="1"/>
  <c r="C109" i="5"/>
  <c r="L121" i="5"/>
  <c r="L123" i="5" s="1"/>
  <c r="L211" i="5" s="1"/>
  <c r="F12" i="5"/>
  <c r="A110" i="5"/>
  <c r="A136" i="5"/>
  <c r="A184" i="5"/>
  <c r="A160" i="5"/>
  <c r="D45" i="6"/>
  <c r="D61" i="6"/>
  <c r="K128" i="5"/>
  <c r="L129" i="5" s="1"/>
  <c r="M130" i="5" s="1"/>
  <c r="N131" i="5" s="1"/>
  <c r="O132" i="5" s="1"/>
  <c r="P133" i="5" s="1"/>
  <c r="Q134" i="5" s="1"/>
  <c r="R135" i="5" s="1"/>
  <c r="K176" i="5"/>
  <c r="L177" i="5" s="1"/>
  <c r="M178" i="5" s="1"/>
  <c r="N179" i="5" s="1"/>
  <c r="O180" i="5" s="1"/>
  <c r="P181" i="5" s="1"/>
  <c r="Q182" i="5" s="1"/>
  <c r="R183" i="5" s="1"/>
  <c r="K101" i="5"/>
  <c r="L102" i="5" s="1"/>
  <c r="M103" i="5" s="1"/>
  <c r="N104" i="5" s="1"/>
  <c r="O105" i="5" s="1"/>
  <c r="P106" i="5" s="1"/>
  <c r="Q107" i="5" s="1"/>
  <c r="R108" i="5" s="1"/>
  <c r="D134" i="6"/>
  <c r="D108" i="6"/>
  <c r="D14" i="6"/>
  <c r="D78" i="6" s="1"/>
  <c r="D29" i="6"/>
  <c r="D93" i="6" s="1"/>
  <c r="J4" i="28" l="1"/>
  <c r="K213" i="27"/>
  <c r="F14" i="5"/>
  <c r="D15" i="5"/>
  <c r="O121" i="5" s="1"/>
  <c r="O123" i="5" s="1"/>
  <c r="O211" i="5" s="1"/>
  <c r="C111" i="5"/>
  <c r="N121" i="5"/>
  <c r="N123" i="5" s="1"/>
  <c r="N211" i="5" s="1"/>
  <c r="A111" i="5"/>
  <c r="A137" i="5"/>
  <c r="A161" i="5"/>
  <c r="A185" i="5"/>
  <c r="D46" i="6"/>
  <c r="D62" i="6"/>
  <c r="L176" i="5"/>
  <c r="M177" i="5" s="1"/>
  <c r="N178" i="5" s="1"/>
  <c r="O179" i="5" s="1"/>
  <c r="P180" i="5" s="1"/>
  <c r="Q181" i="5" s="1"/>
  <c r="R182" i="5" s="1"/>
  <c r="L152" i="5"/>
  <c r="M153" i="5" s="1"/>
  <c r="N154" i="5" s="1"/>
  <c r="O155" i="5" s="1"/>
  <c r="P156" i="5" s="1"/>
  <c r="Q157" i="5" s="1"/>
  <c r="R158" i="5" s="1"/>
  <c r="L128" i="5"/>
  <c r="M129" i="5" s="1"/>
  <c r="N130" i="5" s="1"/>
  <c r="O131" i="5" s="1"/>
  <c r="P132" i="5" s="1"/>
  <c r="Q133" i="5" s="1"/>
  <c r="R134" i="5" s="1"/>
  <c r="L101" i="5"/>
  <c r="M102" i="5" s="1"/>
  <c r="N103" i="5" s="1"/>
  <c r="O104" i="5" s="1"/>
  <c r="P105" i="5" s="1"/>
  <c r="Q106" i="5" s="1"/>
  <c r="R107" i="5" s="1"/>
  <c r="D135" i="6"/>
  <c r="M152" i="5" s="1"/>
  <c r="N153" i="5" s="1"/>
  <c r="O154" i="5" s="1"/>
  <c r="P155" i="5" s="1"/>
  <c r="Q156" i="5" s="1"/>
  <c r="R157" i="5" s="1"/>
  <c r="D109" i="6"/>
  <c r="D15" i="6"/>
  <c r="D79" i="6" s="1"/>
  <c r="D30" i="6"/>
  <c r="D94" i="6" s="1"/>
  <c r="D136" i="6" s="1"/>
  <c r="F15" i="5" l="1"/>
  <c r="D16" i="5"/>
  <c r="D17" i="5" s="1"/>
  <c r="C112" i="5"/>
  <c r="A112" i="5"/>
  <c r="A162" i="5"/>
  <c r="A186" i="5"/>
  <c r="A138" i="5"/>
  <c r="D47" i="6"/>
  <c r="D63" i="6"/>
  <c r="M101" i="5"/>
  <c r="N102" i="5" s="1"/>
  <c r="O103" i="5" s="1"/>
  <c r="P104" i="5" s="1"/>
  <c r="Q105" i="5" s="1"/>
  <c r="R106" i="5" s="1"/>
  <c r="M176" i="5"/>
  <c r="N177" i="5" s="1"/>
  <c r="O178" i="5" s="1"/>
  <c r="P179" i="5" s="1"/>
  <c r="Q180" i="5" s="1"/>
  <c r="R181" i="5" s="1"/>
  <c r="M128" i="5"/>
  <c r="N129" i="5" s="1"/>
  <c r="O130" i="5" s="1"/>
  <c r="P131" i="5" s="1"/>
  <c r="Q132" i="5" s="1"/>
  <c r="R133" i="5" s="1"/>
  <c r="N128" i="5"/>
  <c r="O129" i="5" s="1"/>
  <c r="P130" i="5" s="1"/>
  <c r="Q131" i="5" s="1"/>
  <c r="R132" i="5" s="1"/>
  <c r="D110" i="6"/>
  <c r="D16" i="6"/>
  <c r="D80" i="6" s="1"/>
  <c r="D31" i="6"/>
  <c r="D95" i="6" s="1"/>
  <c r="D137" i="6" s="1"/>
  <c r="C113" i="5" l="1"/>
  <c r="P121" i="5"/>
  <c r="P123" i="5" s="1"/>
  <c r="P211" i="5" s="1"/>
  <c r="F16" i="5"/>
  <c r="A113" i="5"/>
  <c r="A187" i="5"/>
  <c r="A139" i="5"/>
  <c r="A163" i="5"/>
  <c r="N176" i="5"/>
  <c r="O177" i="5" s="1"/>
  <c r="P178" i="5" s="1"/>
  <c r="Q179" i="5" s="1"/>
  <c r="R180" i="5" s="1"/>
  <c r="D48" i="6"/>
  <c r="D64" i="6"/>
  <c r="N152" i="5"/>
  <c r="O153" i="5" s="1"/>
  <c r="P154" i="5" s="1"/>
  <c r="Q155" i="5" s="1"/>
  <c r="R156" i="5" s="1"/>
  <c r="O128" i="5"/>
  <c r="P129" i="5" s="1"/>
  <c r="Q130" i="5" s="1"/>
  <c r="R131" i="5" s="1"/>
  <c r="D111" i="6"/>
  <c r="Q121" i="5"/>
  <c r="Q123" i="5" s="1"/>
  <c r="Q211" i="5" s="1"/>
  <c r="C114" i="5"/>
  <c r="D18" i="5"/>
  <c r="F17" i="5"/>
  <c r="D17" i="6"/>
  <c r="D81" i="6" s="1"/>
  <c r="D32" i="6"/>
  <c r="D96" i="6" s="1"/>
  <c r="D138" i="6" s="1"/>
  <c r="A114" i="5" l="1"/>
  <c r="A140" i="5"/>
  <c r="A164" i="5"/>
  <c r="A188" i="5"/>
  <c r="O152" i="5"/>
  <c r="P153" i="5" s="1"/>
  <c r="Q154" i="5" s="1"/>
  <c r="R155" i="5" s="1"/>
  <c r="D49" i="6"/>
  <c r="D65" i="6"/>
  <c r="O176" i="5"/>
  <c r="P177" i="5" s="1"/>
  <c r="Q178" i="5" s="1"/>
  <c r="R179" i="5" s="1"/>
  <c r="P176" i="5"/>
  <c r="Q177" i="5" s="1"/>
  <c r="R178" i="5" s="1"/>
  <c r="D112" i="6"/>
  <c r="P101" i="5"/>
  <c r="R121" i="5"/>
  <c r="R123" i="5" s="1"/>
  <c r="R211" i="5" s="1"/>
  <c r="C115" i="5"/>
  <c r="F18" i="5"/>
  <c r="D18" i="6"/>
  <c r="D33" i="6"/>
  <c r="D97" i="6" s="1"/>
  <c r="D139" i="6" s="1"/>
  <c r="A115" i="5" l="1"/>
  <c r="A165" i="5"/>
  <c r="A141" i="5"/>
  <c r="A189" i="5"/>
  <c r="P152" i="5"/>
  <c r="Q153" i="5" s="1"/>
  <c r="R154" i="5" s="1"/>
  <c r="D66" i="6"/>
  <c r="D82" i="6"/>
  <c r="D34" i="6"/>
  <c r="D98" i="6" s="1"/>
  <c r="D140" i="6" s="1"/>
  <c r="D50" i="6"/>
  <c r="Q102" i="5"/>
  <c r="R103" i="5" s="1"/>
  <c r="Q152" i="5"/>
  <c r="R153" i="5" s="1"/>
  <c r="D113" i="6"/>
  <c r="P176" i="27" l="1"/>
  <c r="J128" i="27"/>
  <c r="L176" i="27"/>
  <c r="D101" i="27"/>
  <c r="D117" i="27" s="1"/>
  <c r="D119" i="27" s="1"/>
  <c r="K128" i="27"/>
  <c r="L152" i="30"/>
  <c r="O176" i="27"/>
  <c r="N176" i="27"/>
  <c r="R152" i="27"/>
  <c r="L128" i="30"/>
  <c r="O128" i="27"/>
  <c r="L128" i="27"/>
  <c r="M128" i="29"/>
  <c r="Q128" i="27"/>
  <c r="D128" i="30"/>
  <c r="M176" i="29"/>
  <c r="M152" i="30"/>
  <c r="M101" i="29"/>
  <c r="R152" i="30"/>
  <c r="R128" i="27"/>
  <c r="L152" i="29"/>
  <c r="N152" i="27"/>
  <c r="L101" i="27"/>
  <c r="L117" i="27" s="1"/>
  <c r="L119" i="27" s="1"/>
  <c r="D152" i="29"/>
  <c r="Q128" i="29"/>
  <c r="O152" i="27"/>
  <c r="M152" i="27"/>
  <c r="O152" i="30"/>
  <c r="D101" i="30"/>
  <c r="K176" i="27"/>
  <c r="R152" i="29"/>
  <c r="L152" i="27"/>
  <c r="O128" i="30"/>
  <c r="Q101" i="30"/>
  <c r="N176" i="30"/>
  <c r="M101" i="27"/>
  <c r="M117" i="27" s="1"/>
  <c r="M119" i="27" s="1"/>
  <c r="K128" i="29"/>
  <c r="L176" i="30"/>
  <c r="P101" i="27"/>
  <c r="P117" i="27" s="1"/>
  <c r="P119" i="27" s="1"/>
  <c r="P128" i="30"/>
  <c r="K176" i="29"/>
  <c r="K128" i="30"/>
  <c r="L128" i="29"/>
  <c r="R128" i="29"/>
  <c r="Q176" i="27"/>
  <c r="N128" i="27"/>
  <c r="K176" i="30"/>
  <c r="N101" i="27"/>
  <c r="N117" i="27" s="1"/>
  <c r="N119" i="27" s="1"/>
  <c r="Q101" i="27"/>
  <c r="Q117" i="27" s="1"/>
  <c r="Q119" i="27" s="1"/>
  <c r="O128" i="29"/>
  <c r="K152" i="30"/>
  <c r="O101" i="30"/>
  <c r="Q152" i="30"/>
  <c r="R101" i="30"/>
  <c r="M101" i="30"/>
  <c r="D176" i="30"/>
  <c r="M128" i="27"/>
  <c r="N101" i="30"/>
  <c r="D176" i="27"/>
  <c r="M176" i="30"/>
  <c r="M176" i="27"/>
  <c r="N152" i="30"/>
  <c r="R176" i="30"/>
  <c r="K101" i="29"/>
  <c r="D101" i="29"/>
  <c r="Q176" i="29"/>
  <c r="N152" i="29"/>
  <c r="O101" i="27"/>
  <c r="O117" i="27" s="1"/>
  <c r="O119" i="27" s="1"/>
  <c r="D128" i="29"/>
  <c r="R176" i="27"/>
  <c r="D152" i="27"/>
  <c r="M152" i="29"/>
  <c r="L101" i="29"/>
  <c r="P176" i="29"/>
  <c r="N176" i="29"/>
  <c r="Q152" i="29"/>
  <c r="K101" i="30"/>
  <c r="N128" i="30"/>
  <c r="P152" i="29"/>
  <c r="O176" i="29"/>
  <c r="P101" i="30"/>
  <c r="N128" i="29"/>
  <c r="P152" i="27"/>
  <c r="O176" i="30"/>
  <c r="P128" i="29"/>
  <c r="P152" i="30"/>
  <c r="R128" i="30"/>
  <c r="D128" i="27"/>
  <c r="Q176" i="30"/>
  <c r="O152" i="29"/>
  <c r="R101" i="29"/>
  <c r="Q128" i="30"/>
  <c r="Q101" i="29"/>
  <c r="P128" i="27"/>
  <c r="P176" i="30"/>
  <c r="D176" i="29"/>
  <c r="R101" i="27"/>
  <c r="R117" i="27" s="1"/>
  <c r="R119" i="27" s="1"/>
  <c r="P101" i="29"/>
  <c r="Q152" i="27"/>
  <c r="M128" i="30"/>
  <c r="L176" i="29"/>
  <c r="O101" i="29"/>
  <c r="L101" i="30"/>
  <c r="D152" i="30"/>
  <c r="R176" i="29"/>
  <c r="N101" i="29"/>
  <c r="D114" i="6"/>
  <c r="A142" i="5"/>
  <c r="A166" i="5"/>
  <c r="A190" i="5"/>
  <c r="R176" i="5"/>
  <c r="R101" i="5"/>
  <c r="D128" i="5"/>
  <c r="N101" i="5"/>
  <c r="D152" i="5"/>
  <c r="E153" i="5" s="1"/>
  <c r="F154" i="5" s="1"/>
  <c r="G155" i="5" s="1"/>
  <c r="H156" i="5" s="1"/>
  <c r="I157" i="5" s="1"/>
  <c r="J158" i="5" s="1"/>
  <c r="K159" i="5" s="1"/>
  <c r="L160" i="5" s="1"/>
  <c r="M161" i="5" s="1"/>
  <c r="N162" i="5" s="1"/>
  <c r="O163" i="5" s="1"/>
  <c r="P164" i="5" s="1"/>
  <c r="Q165" i="5" s="1"/>
  <c r="R166" i="5" s="1"/>
  <c r="O101" i="5"/>
  <c r="D101" i="5"/>
  <c r="D117" i="5" s="1"/>
  <c r="D176" i="5"/>
  <c r="E177" i="5" s="1"/>
  <c r="F178" i="5" s="1"/>
  <c r="G179" i="5" s="1"/>
  <c r="H180" i="5" s="1"/>
  <c r="I181" i="5" s="1"/>
  <c r="J182" i="5" s="1"/>
  <c r="K183" i="5" s="1"/>
  <c r="L184" i="5" s="1"/>
  <c r="M185" i="5" s="1"/>
  <c r="N186" i="5" s="1"/>
  <c r="O187" i="5" s="1"/>
  <c r="P188" i="5" s="1"/>
  <c r="Q189" i="5" s="1"/>
  <c r="R190" i="5" s="1"/>
  <c r="P128" i="5"/>
  <c r="Q129" i="5" s="1"/>
  <c r="R130" i="5" s="1"/>
  <c r="Q128" i="5"/>
  <c r="R129" i="5" s="1"/>
  <c r="Q101" i="5"/>
  <c r="Q176" i="5"/>
  <c r="R177" i="5" s="1"/>
  <c r="R128" i="5"/>
  <c r="R152" i="5"/>
  <c r="P177" i="30" l="1"/>
  <c r="Q178" i="30" s="1"/>
  <c r="R179" i="30" s="1"/>
  <c r="R177" i="29"/>
  <c r="L129" i="30"/>
  <c r="M130" i="30" s="1"/>
  <c r="N131" i="30" s="1"/>
  <c r="O132" i="30" s="1"/>
  <c r="P133" i="30" s="1"/>
  <c r="Q134" i="30" s="1"/>
  <c r="R135" i="30" s="1"/>
  <c r="M129" i="27"/>
  <c r="N130" i="27" s="1"/>
  <c r="O131" i="27" s="1"/>
  <c r="P132" i="27" s="1"/>
  <c r="Q133" i="27" s="1"/>
  <c r="R134" i="27" s="1"/>
  <c r="M177" i="29"/>
  <c r="N178" i="29" s="1"/>
  <c r="O179" i="29" s="1"/>
  <c r="P180" i="29" s="1"/>
  <c r="Q181" i="29" s="1"/>
  <c r="R182" i="29" s="1"/>
  <c r="Q177" i="30"/>
  <c r="R178" i="30" s="1"/>
  <c r="R177" i="30"/>
  <c r="Q153" i="27"/>
  <c r="R154" i="27" s="1"/>
  <c r="L102" i="30"/>
  <c r="M103" i="30" s="1"/>
  <c r="N104" i="30" s="1"/>
  <c r="O105" i="30" s="1"/>
  <c r="P106" i="30" s="1"/>
  <c r="Q107" i="30" s="1"/>
  <c r="R108" i="30" s="1"/>
  <c r="D168" i="27"/>
  <c r="D170" i="27" s="1"/>
  <c r="E153" i="27"/>
  <c r="D117" i="29"/>
  <c r="E102" i="29"/>
  <c r="D192" i="27"/>
  <c r="D194" i="27" s="1"/>
  <c r="E177" i="27"/>
  <c r="R153" i="30"/>
  <c r="L177" i="30"/>
  <c r="M178" i="30" s="1"/>
  <c r="N179" i="30" s="1"/>
  <c r="O180" i="30" s="1"/>
  <c r="P181" i="30" s="1"/>
  <c r="Q182" i="30" s="1"/>
  <c r="R183" i="30" s="1"/>
  <c r="L177" i="29"/>
  <c r="M178" i="29" s="1"/>
  <c r="N179" i="29" s="1"/>
  <c r="O180" i="29" s="1"/>
  <c r="P181" i="29" s="1"/>
  <c r="Q182" i="29" s="1"/>
  <c r="R183" i="29" s="1"/>
  <c r="O177" i="30"/>
  <c r="P178" i="30" s="1"/>
  <c r="Q179" i="30" s="1"/>
  <c r="R180" i="30" s="1"/>
  <c r="E102" i="30"/>
  <c r="D117" i="30"/>
  <c r="L208" i="27"/>
  <c r="L122" i="27"/>
  <c r="L125" i="27"/>
  <c r="N153" i="30"/>
  <c r="O154" i="30" s="1"/>
  <c r="P155" i="30" s="1"/>
  <c r="Q156" i="30" s="1"/>
  <c r="R157" i="30" s="1"/>
  <c r="P129" i="27"/>
  <c r="Q130" i="27" s="1"/>
  <c r="R131" i="27" s="1"/>
  <c r="L129" i="27"/>
  <c r="M130" i="27" s="1"/>
  <c r="N131" i="27" s="1"/>
  <c r="O132" i="27" s="1"/>
  <c r="P133" i="27" s="1"/>
  <c r="Q134" i="27" s="1"/>
  <c r="R135" i="27" s="1"/>
  <c r="E153" i="29"/>
  <c r="D168" i="29"/>
  <c r="D170" i="29" s="1"/>
  <c r="D208" i="27"/>
  <c r="D122" i="27"/>
  <c r="D125" i="27"/>
  <c r="P153" i="29"/>
  <c r="Q154" i="29" s="1"/>
  <c r="R155" i="29" s="1"/>
  <c r="N153" i="29"/>
  <c r="O154" i="29" s="1"/>
  <c r="P155" i="29" s="1"/>
  <c r="Q156" i="29" s="1"/>
  <c r="R157" i="29" s="1"/>
  <c r="M125" i="27"/>
  <c r="M208" i="27"/>
  <c r="M122" i="27"/>
  <c r="N129" i="30"/>
  <c r="O130" i="30" s="1"/>
  <c r="P131" i="30" s="1"/>
  <c r="Q132" i="30" s="1"/>
  <c r="R133" i="30" s="1"/>
  <c r="O129" i="29"/>
  <c r="P130" i="29" s="1"/>
  <c r="Q131" i="29" s="1"/>
  <c r="R132" i="29" s="1"/>
  <c r="Q129" i="30"/>
  <c r="R130" i="30" s="1"/>
  <c r="N177" i="29"/>
  <c r="O178" i="29" s="1"/>
  <c r="P179" i="29" s="1"/>
  <c r="Q180" i="29" s="1"/>
  <c r="R181" i="29" s="1"/>
  <c r="Q102" i="30"/>
  <c r="R103" i="30" s="1"/>
  <c r="D144" i="29"/>
  <c r="D146" i="29" s="1"/>
  <c r="E129" i="29"/>
  <c r="N129" i="27"/>
  <c r="O130" i="27" s="1"/>
  <c r="P131" i="27" s="1"/>
  <c r="Q132" i="27" s="1"/>
  <c r="R133" i="27" s="1"/>
  <c r="L153" i="30"/>
  <c r="M154" i="30" s="1"/>
  <c r="N155" i="30" s="1"/>
  <c r="O156" i="30" s="1"/>
  <c r="P157" i="30" s="1"/>
  <c r="Q158" i="30" s="1"/>
  <c r="R159" i="30" s="1"/>
  <c r="R177" i="27"/>
  <c r="P208" i="27"/>
  <c r="P125" i="27"/>
  <c r="P122" i="27"/>
  <c r="P129" i="30"/>
  <c r="Q130" i="30" s="1"/>
  <c r="R131" i="30" s="1"/>
  <c r="N153" i="27"/>
  <c r="O154" i="27" s="1"/>
  <c r="P155" i="27" s="1"/>
  <c r="Q156" i="27" s="1"/>
  <c r="R157" i="27" s="1"/>
  <c r="M153" i="29"/>
  <c r="N154" i="29" s="1"/>
  <c r="O155" i="29" s="1"/>
  <c r="P156" i="29" s="1"/>
  <c r="Q157" i="29" s="1"/>
  <c r="R158" i="29" s="1"/>
  <c r="D144" i="30"/>
  <c r="D146" i="30" s="1"/>
  <c r="E129" i="30"/>
  <c r="M177" i="27"/>
  <c r="N178" i="27" s="1"/>
  <c r="O179" i="27" s="1"/>
  <c r="P180" i="27" s="1"/>
  <c r="Q181" i="27" s="1"/>
  <c r="R182" i="27" s="1"/>
  <c r="P102" i="29"/>
  <c r="Q103" i="29" s="1"/>
  <c r="R104" i="29" s="1"/>
  <c r="O129" i="30"/>
  <c r="P130" i="30" s="1"/>
  <c r="Q131" i="30" s="1"/>
  <c r="R132" i="30" s="1"/>
  <c r="N208" i="27"/>
  <c r="N122" i="27"/>
  <c r="N125" i="27"/>
  <c r="N102" i="29"/>
  <c r="O103" i="29" s="1"/>
  <c r="P104" i="29" s="1"/>
  <c r="Q105" i="29" s="1"/>
  <c r="R106" i="29" s="1"/>
  <c r="Q129" i="27"/>
  <c r="R130" i="27" s="1"/>
  <c r="R153" i="29"/>
  <c r="L102" i="29"/>
  <c r="M103" i="29" s="1"/>
  <c r="N104" i="29" s="1"/>
  <c r="O105" i="29" s="1"/>
  <c r="P106" i="29" s="1"/>
  <c r="Q107" i="29" s="1"/>
  <c r="R108" i="29" s="1"/>
  <c r="P102" i="30"/>
  <c r="Q103" i="30" s="1"/>
  <c r="R104" i="30" s="1"/>
  <c r="R102" i="30"/>
  <c r="P153" i="30"/>
  <c r="Q154" i="30" s="1"/>
  <c r="R155" i="30" s="1"/>
  <c r="M129" i="30"/>
  <c r="N130" i="30" s="1"/>
  <c r="O131" i="30" s="1"/>
  <c r="P132" i="30" s="1"/>
  <c r="Q133" i="30" s="1"/>
  <c r="R134" i="30" s="1"/>
  <c r="Q102" i="29"/>
  <c r="R103" i="29" s="1"/>
  <c r="Q153" i="30"/>
  <c r="R154" i="30" s="1"/>
  <c r="Q177" i="29"/>
  <c r="R178" i="29" s="1"/>
  <c r="O208" i="27"/>
  <c r="O122" i="27"/>
  <c r="O125" i="27"/>
  <c r="O153" i="30"/>
  <c r="P154" i="30" s="1"/>
  <c r="Q155" i="30" s="1"/>
  <c r="R156" i="30" s="1"/>
  <c r="D192" i="30"/>
  <c r="D194" i="30" s="1"/>
  <c r="E177" i="30"/>
  <c r="P129" i="29"/>
  <c r="Q130" i="29" s="1"/>
  <c r="R131" i="29" s="1"/>
  <c r="M177" i="30"/>
  <c r="N178" i="30" s="1"/>
  <c r="O179" i="30" s="1"/>
  <c r="P180" i="30" s="1"/>
  <c r="Q181" i="30" s="1"/>
  <c r="R182" i="30" s="1"/>
  <c r="M153" i="27"/>
  <c r="N154" i="27" s="1"/>
  <c r="O155" i="27" s="1"/>
  <c r="P156" i="27" s="1"/>
  <c r="Q157" i="27" s="1"/>
  <c r="R158" i="27" s="1"/>
  <c r="P153" i="27"/>
  <c r="Q154" i="27" s="1"/>
  <c r="R155" i="27" s="1"/>
  <c r="R129" i="27"/>
  <c r="O177" i="27"/>
  <c r="P178" i="27" s="1"/>
  <c r="Q179" i="27" s="1"/>
  <c r="R180" i="27" s="1"/>
  <c r="K129" i="27"/>
  <c r="L130" i="27" s="1"/>
  <c r="M131" i="27" s="1"/>
  <c r="N132" i="27" s="1"/>
  <c r="O133" i="27" s="1"/>
  <c r="P134" i="27" s="1"/>
  <c r="Q135" i="27" s="1"/>
  <c r="R136" i="27" s="1"/>
  <c r="E177" i="29"/>
  <c r="D192" i="29"/>
  <c r="D194" i="29" s="1"/>
  <c r="N177" i="30"/>
  <c r="O178" i="30" s="1"/>
  <c r="P179" i="30" s="1"/>
  <c r="Q180" i="30" s="1"/>
  <c r="R181" i="30" s="1"/>
  <c r="L177" i="27"/>
  <c r="M178" i="27" s="1"/>
  <c r="N179" i="27" s="1"/>
  <c r="O180" i="27" s="1"/>
  <c r="P181" i="27" s="1"/>
  <c r="Q182" i="27" s="1"/>
  <c r="R183" i="27" s="1"/>
  <c r="M153" i="30"/>
  <c r="N154" i="30" s="1"/>
  <c r="O155" i="30" s="1"/>
  <c r="P156" i="30" s="1"/>
  <c r="Q157" i="30" s="1"/>
  <c r="R158" i="30" s="1"/>
  <c r="O102" i="29"/>
  <c r="P103" i="29" s="1"/>
  <c r="Q104" i="29" s="1"/>
  <c r="R105" i="29" s="1"/>
  <c r="E129" i="27"/>
  <c r="D144" i="27"/>
  <c r="D146" i="27" s="1"/>
  <c r="O102" i="30"/>
  <c r="P103" i="30" s="1"/>
  <c r="Q104" i="30" s="1"/>
  <c r="R105" i="30" s="1"/>
  <c r="O129" i="27"/>
  <c r="P130" i="27" s="1"/>
  <c r="Q131" i="27" s="1"/>
  <c r="R132" i="27" s="1"/>
  <c r="O153" i="27"/>
  <c r="P154" i="27" s="1"/>
  <c r="Q155" i="27" s="1"/>
  <c r="R156" i="27" s="1"/>
  <c r="R153" i="27"/>
  <c r="R102" i="29"/>
  <c r="O177" i="29"/>
  <c r="P178" i="29" s="1"/>
  <c r="Q179" i="29" s="1"/>
  <c r="R180" i="29" s="1"/>
  <c r="E153" i="30"/>
  <c r="D168" i="30"/>
  <c r="D170" i="30" s="1"/>
  <c r="R129" i="30"/>
  <c r="P177" i="29"/>
  <c r="Q178" i="29" s="1"/>
  <c r="R179" i="29" s="1"/>
  <c r="M102" i="30"/>
  <c r="N103" i="30" s="1"/>
  <c r="O104" i="30" s="1"/>
  <c r="P105" i="30" s="1"/>
  <c r="Q106" i="30" s="1"/>
  <c r="R107" i="30" s="1"/>
  <c r="R122" i="27"/>
  <c r="R125" i="27"/>
  <c r="R208" i="27"/>
  <c r="Q129" i="29"/>
  <c r="R130" i="29" s="1"/>
  <c r="Q153" i="29"/>
  <c r="R154" i="29" s="1"/>
  <c r="M102" i="29"/>
  <c r="N103" i="29" s="1"/>
  <c r="O104" i="29" s="1"/>
  <c r="P105" i="29" s="1"/>
  <c r="Q106" i="29" s="1"/>
  <c r="R107" i="29" s="1"/>
  <c r="O153" i="29"/>
  <c r="P154" i="29" s="1"/>
  <c r="Q155" i="29" s="1"/>
  <c r="R156" i="29" s="1"/>
  <c r="N177" i="27"/>
  <c r="O178" i="27" s="1"/>
  <c r="P179" i="27" s="1"/>
  <c r="Q180" i="27" s="1"/>
  <c r="R181" i="27" s="1"/>
  <c r="N102" i="30"/>
  <c r="O103" i="30" s="1"/>
  <c r="P104" i="30" s="1"/>
  <c r="Q105" i="30" s="1"/>
  <c r="R106" i="30" s="1"/>
  <c r="Q208" i="27"/>
  <c r="Q125" i="27"/>
  <c r="Q122" i="27"/>
  <c r="M129" i="29"/>
  <c r="N130" i="29" s="1"/>
  <c r="O131" i="29" s="1"/>
  <c r="P132" i="29" s="1"/>
  <c r="Q133" i="29" s="1"/>
  <c r="R134" i="29" s="1"/>
  <c r="L129" i="29"/>
  <c r="M130" i="29" s="1"/>
  <c r="N131" i="29" s="1"/>
  <c r="O132" i="29" s="1"/>
  <c r="P133" i="29" s="1"/>
  <c r="Q134" i="29" s="1"/>
  <c r="R135" i="29" s="1"/>
  <c r="R129" i="29"/>
  <c r="N129" i="29"/>
  <c r="O130" i="29" s="1"/>
  <c r="P131" i="29" s="1"/>
  <c r="Q132" i="29" s="1"/>
  <c r="R133" i="29" s="1"/>
  <c r="P177" i="27"/>
  <c r="Q178" i="27" s="1"/>
  <c r="R179" i="27" s="1"/>
  <c r="Q177" i="27"/>
  <c r="R178" i="27" s="1"/>
  <c r="D119" i="5"/>
  <c r="D122" i="5" s="1"/>
  <c r="E129" i="5"/>
  <c r="F130" i="5" s="1"/>
  <c r="G131" i="5" s="1"/>
  <c r="H132" i="5" s="1"/>
  <c r="I133" i="5" s="1"/>
  <c r="J134" i="5" s="1"/>
  <c r="K135" i="5" s="1"/>
  <c r="L136" i="5" s="1"/>
  <c r="M137" i="5" s="1"/>
  <c r="N138" i="5" s="1"/>
  <c r="O139" i="5" s="1"/>
  <c r="P140" i="5" s="1"/>
  <c r="Q141" i="5" s="1"/>
  <c r="R142" i="5" s="1"/>
  <c r="D144" i="5"/>
  <c r="D146" i="5" s="1"/>
  <c r="D192" i="5"/>
  <c r="D194" i="5" s="1"/>
  <c r="D168" i="5"/>
  <c r="O102" i="5"/>
  <c r="P103" i="5" s="1"/>
  <c r="Q104" i="5" s="1"/>
  <c r="R105" i="5" s="1"/>
  <c r="E102" i="5"/>
  <c r="P102" i="5"/>
  <c r="R102" i="5"/>
  <c r="D54" i="29" l="1"/>
  <c r="D196" i="30"/>
  <c r="D205" i="30"/>
  <c r="M4" i="28"/>
  <c r="N213" i="27"/>
  <c r="O4" i="28"/>
  <c r="P213" i="27"/>
  <c r="F178" i="27"/>
  <c r="E192" i="27"/>
  <c r="E194" i="27" s="1"/>
  <c r="D196" i="29"/>
  <c r="D205" i="29"/>
  <c r="C4" i="28"/>
  <c r="D213" i="27"/>
  <c r="K4" i="28"/>
  <c r="L213" i="27"/>
  <c r="D196" i="27"/>
  <c r="D205" i="27"/>
  <c r="P4" i="28"/>
  <c r="Q213" i="27"/>
  <c r="F154" i="30"/>
  <c r="E168" i="30"/>
  <c r="E170" i="30" s="1"/>
  <c r="E204" i="30" s="1"/>
  <c r="F178" i="29"/>
  <c r="E192" i="29"/>
  <c r="E194" i="29" s="1"/>
  <c r="E205" i="29" s="1"/>
  <c r="F130" i="30"/>
  <c r="E144" i="30"/>
  <c r="E146" i="30" s="1"/>
  <c r="F130" i="29"/>
  <c r="E144" i="29"/>
  <c r="E146" i="29" s="1"/>
  <c r="D172" i="29"/>
  <c r="D204" i="29"/>
  <c r="F103" i="29"/>
  <c r="E117" i="29"/>
  <c r="D203" i="27"/>
  <c r="D148" i="27"/>
  <c r="D148" i="30"/>
  <c r="D203" i="30"/>
  <c r="D54" i="30"/>
  <c r="D119" i="30" s="1"/>
  <c r="D203" i="29"/>
  <c r="D148" i="29"/>
  <c r="F154" i="29"/>
  <c r="E168" i="29"/>
  <c r="E170" i="29" s="1"/>
  <c r="E204" i="29" s="1"/>
  <c r="F103" i="30"/>
  <c r="E117" i="30"/>
  <c r="R213" i="27"/>
  <c r="Q4" i="28"/>
  <c r="F130" i="27"/>
  <c r="E144" i="27"/>
  <c r="E146" i="27" s="1"/>
  <c r="E203" i="27" s="1"/>
  <c r="F154" i="27"/>
  <c r="E168" i="27"/>
  <c r="E170" i="27" s="1"/>
  <c r="E204" i="27" s="1"/>
  <c r="D204" i="30"/>
  <c r="D172" i="30"/>
  <c r="E172" i="30"/>
  <c r="F178" i="30"/>
  <c r="E192" i="30"/>
  <c r="E194" i="30" s="1"/>
  <c r="N4" i="28"/>
  <c r="O213" i="27"/>
  <c r="L4" i="28"/>
  <c r="M213" i="27"/>
  <c r="D204" i="27"/>
  <c r="D172" i="27"/>
  <c r="D215" i="27" s="1"/>
  <c r="D203" i="5"/>
  <c r="D148" i="5"/>
  <c r="D205" i="5"/>
  <c r="D209" i="5" s="1"/>
  <c r="D196" i="5"/>
  <c r="D170" i="5"/>
  <c r="D208" i="5"/>
  <c r="E168" i="5"/>
  <c r="E170" i="5" s="1"/>
  <c r="E192" i="5"/>
  <c r="E194" i="5" s="1"/>
  <c r="D125" i="5"/>
  <c r="F103" i="5"/>
  <c r="E117" i="5"/>
  <c r="Q103" i="5"/>
  <c r="E144" i="5"/>
  <c r="E146" i="5" s="1"/>
  <c r="E172" i="27" l="1"/>
  <c r="E215" i="27" s="1"/>
  <c r="E196" i="29"/>
  <c r="E172" i="29"/>
  <c r="E54" i="29"/>
  <c r="E119" i="29" s="1"/>
  <c r="D208" i="30"/>
  <c r="D215" i="30" s="1"/>
  <c r="D122" i="30"/>
  <c r="D125" i="30"/>
  <c r="D119" i="29"/>
  <c r="G131" i="27"/>
  <c r="F144" i="27"/>
  <c r="F146" i="27" s="1"/>
  <c r="F203" i="27" s="1"/>
  <c r="E196" i="30"/>
  <c r="E205" i="30"/>
  <c r="E209" i="30" s="1"/>
  <c r="E148" i="29"/>
  <c r="E203" i="29"/>
  <c r="D209" i="27"/>
  <c r="D209" i="29"/>
  <c r="E209" i="29"/>
  <c r="G179" i="30"/>
  <c r="F192" i="30"/>
  <c r="F194" i="30" s="1"/>
  <c r="F196" i="30" s="1"/>
  <c r="G104" i="29"/>
  <c r="F117" i="29"/>
  <c r="G131" i="29"/>
  <c r="F144" i="29"/>
  <c r="F146" i="29" s="1"/>
  <c r="E148" i="27"/>
  <c r="G155" i="29"/>
  <c r="F168" i="29"/>
  <c r="F170" i="29" s="1"/>
  <c r="G179" i="29"/>
  <c r="F192" i="29"/>
  <c r="F194" i="29" s="1"/>
  <c r="E148" i="30"/>
  <c r="E203" i="30"/>
  <c r="E196" i="27"/>
  <c r="E205" i="27"/>
  <c r="E209" i="27" s="1"/>
  <c r="E54" i="30"/>
  <c r="G131" i="30"/>
  <c r="F144" i="30"/>
  <c r="F146" i="30" s="1"/>
  <c r="G179" i="27"/>
  <c r="F192" i="27"/>
  <c r="F194" i="27" s="1"/>
  <c r="D209" i="30"/>
  <c r="G155" i="27"/>
  <c r="F168" i="27"/>
  <c r="F170" i="27" s="1"/>
  <c r="G104" i="30"/>
  <c r="F117" i="30"/>
  <c r="G155" i="30"/>
  <c r="F168" i="30"/>
  <c r="F170" i="30" s="1"/>
  <c r="C3" i="28"/>
  <c r="E148" i="5"/>
  <c r="D204" i="5"/>
  <c r="E172" i="5"/>
  <c r="D172" i="5"/>
  <c r="D215" i="5" s="1"/>
  <c r="D213" i="5"/>
  <c r="E196" i="5"/>
  <c r="E119" i="5"/>
  <c r="E208" i="5" s="1"/>
  <c r="E204" i="5"/>
  <c r="E203" i="5"/>
  <c r="F192" i="5"/>
  <c r="F194" i="5" s="1"/>
  <c r="F196" i="5" s="1"/>
  <c r="F168" i="5"/>
  <c r="F170" i="5" s="1"/>
  <c r="F172" i="5" s="1"/>
  <c r="F144" i="5"/>
  <c r="F146" i="5" s="1"/>
  <c r="F148" i="5" s="1"/>
  <c r="R104" i="5"/>
  <c r="G104" i="5"/>
  <c r="F117" i="5"/>
  <c r="C6" i="28" l="1"/>
  <c r="E208" i="29"/>
  <c r="E215" i="29" s="1"/>
  <c r="E122" i="29"/>
  <c r="E125" i="29"/>
  <c r="F204" i="30"/>
  <c r="F172" i="30"/>
  <c r="F54" i="30"/>
  <c r="F119" i="30" s="1"/>
  <c r="F205" i="30"/>
  <c r="F203" i="30"/>
  <c r="D213" i="30"/>
  <c r="F148" i="30"/>
  <c r="E119" i="30"/>
  <c r="F205" i="29"/>
  <c r="F204" i="29"/>
  <c r="F172" i="29"/>
  <c r="F196" i="29"/>
  <c r="F54" i="29"/>
  <c r="F119" i="29" s="1"/>
  <c r="D122" i="29"/>
  <c r="D208" i="29"/>
  <c r="D125" i="29"/>
  <c r="F203" i="29"/>
  <c r="F148" i="29"/>
  <c r="F204" i="27"/>
  <c r="F172" i="27"/>
  <c r="F215" i="27" s="1"/>
  <c r="F205" i="27"/>
  <c r="F148" i="27"/>
  <c r="F196" i="27"/>
  <c r="H132" i="30"/>
  <c r="G144" i="30"/>
  <c r="G146" i="30" s="1"/>
  <c r="G54" i="30" s="1"/>
  <c r="H156" i="30"/>
  <c r="G168" i="30"/>
  <c r="G170" i="30" s="1"/>
  <c r="G204" i="30" s="1"/>
  <c r="H180" i="27"/>
  <c r="G192" i="27"/>
  <c r="G194" i="27" s="1"/>
  <c r="H180" i="29"/>
  <c r="G192" i="29"/>
  <c r="G194" i="29" s="1"/>
  <c r="G205" i="29" s="1"/>
  <c r="H156" i="27"/>
  <c r="G168" i="27"/>
  <c r="G170" i="27" s="1"/>
  <c r="H105" i="29"/>
  <c r="G117" i="29"/>
  <c r="H180" i="30"/>
  <c r="G192" i="30"/>
  <c r="G194" i="30" s="1"/>
  <c r="H105" i="30"/>
  <c r="G117" i="30"/>
  <c r="H156" i="29"/>
  <c r="G168" i="29"/>
  <c r="G170" i="29" s="1"/>
  <c r="G204" i="29" s="1"/>
  <c r="H132" i="29"/>
  <c r="G144" i="29"/>
  <c r="G146" i="29" s="1"/>
  <c r="G148" i="29" s="1"/>
  <c r="H132" i="27"/>
  <c r="G144" i="27"/>
  <c r="G146" i="27" s="1"/>
  <c r="D3" i="28"/>
  <c r="E215" i="5"/>
  <c r="E213" i="5"/>
  <c r="E125" i="5"/>
  <c r="E122" i="5"/>
  <c r="F119" i="5"/>
  <c r="F208" i="5" s="1"/>
  <c r="F215" i="5" s="1"/>
  <c r="E205" i="5"/>
  <c r="E209" i="5" s="1"/>
  <c r="F203" i="5"/>
  <c r="F204" i="5"/>
  <c r="G168" i="5"/>
  <c r="G170" i="5" s="1"/>
  <c r="G192" i="5"/>
  <c r="G194" i="5" s="1"/>
  <c r="H105" i="5"/>
  <c r="G117" i="5"/>
  <c r="G144" i="5"/>
  <c r="G146" i="5" s="1"/>
  <c r="D5" i="28" l="1"/>
  <c r="E213" i="29"/>
  <c r="G172" i="29"/>
  <c r="G119" i="30"/>
  <c r="G125" i="30" s="1"/>
  <c r="G209" i="29"/>
  <c r="F122" i="30"/>
  <c r="F208" i="30"/>
  <c r="E6" i="28" s="1"/>
  <c r="F125" i="30"/>
  <c r="F209" i="30"/>
  <c r="E125" i="30"/>
  <c r="E122" i="30"/>
  <c r="E208" i="30"/>
  <c r="G172" i="30"/>
  <c r="G203" i="30"/>
  <c r="G148" i="30"/>
  <c r="F208" i="29"/>
  <c r="E5" i="28" s="1"/>
  <c r="F125" i="29"/>
  <c r="F122" i="29"/>
  <c r="F209" i="29"/>
  <c r="D215" i="29"/>
  <c r="D213" i="29"/>
  <c r="C5" i="28"/>
  <c r="G203" i="29"/>
  <c r="G196" i="29"/>
  <c r="G203" i="27"/>
  <c r="F209" i="27"/>
  <c r="G148" i="27"/>
  <c r="I181" i="30"/>
  <c r="H192" i="30"/>
  <c r="H194" i="30" s="1"/>
  <c r="H196" i="30" s="1"/>
  <c r="I133" i="27"/>
  <c r="H144" i="27"/>
  <c r="H146" i="27" s="1"/>
  <c r="H148" i="27" s="1"/>
  <c r="I106" i="29"/>
  <c r="H117" i="29"/>
  <c r="G208" i="30"/>
  <c r="G122" i="30"/>
  <c r="I181" i="27"/>
  <c r="H192" i="27"/>
  <c r="H194" i="27" s="1"/>
  <c r="I181" i="29"/>
  <c r="H192" i="29"/>
  <c r="H194" i="29" s="1"/>
  <c r="H205" i="29" s="1"/>
  <c r="H209" i="29" s="1"/>
  <c r="G196" i="27"/>
  <c r="G205" i="27"/>
  <c r="I133" i="30"/>
  <c r="H144" i="30"/>
  <c r="H146" i="30" s="1"/>
  <c r="I133" i="29"/>
  <c r="H144" i="29"/>
  <c r="H146" i="29" s="1"/>
  <c r="G54" i="29"/>
  <c r="I106" i="30"/>
  <c r="H117" i="30"/>
  <c r="G172" i="27"/>
  <c r="G215" i="27" s="1"/>
  <c r="G204" i="27"/>
  <c r="I157" i="29"/>
  <c r="H168" i="29"/>
  <c r="H170" i="29" s="1"/>
  <c r="G196" i="30"/>
  <c r="G205" i="30"/>
  <c r="I157" i="27"/>
  <c r="H168" i="27"/>
  <c r="H170" i="27" s="1"/>
  <c r="I157" i="30"/>
  <c r="H168" i="30"/>
  <c r="H170" i="30" s="1"/>
  <c r="H172" i="30" s="1"/>
  <c r="E3" i="28"/>
  <c r="G172" i="5"/>
  <c r="G148" i="5"/>
  <c r="F213" i="5"/>
  <c r="F122" i="5"/>
  <c r="F125" i="5"/>
  <c r="G119" i="5"/>
  <c r="G208" i="5" s="1"/>
  <c r="G204" i="5"/>
  <c r="G203" i="5"/>
  <c r="G196" i="5"/>
  <c r="F205" i="5"/>
  <c r="H168" i="5"/>
  <c r="H170" i="5" s="1"/>
  <c r="H192" i="5"/>
  <c r="H194" i="5" s="1"/>
  <c r="H144" i="5"/>
  <c r="H146" i="5" s="1"/>
  <c r="H148" i="5" s="1"/>
  <c r="I106" i="5"/>
  <c r="H117" i="5"/>
  <c r="F215" i="29" l="1"/>
  <c r="F213" i="29"/>
  <c r="F215" i="30"/>
  <c r="F213" i="30"/>
  <c r="H196" i="29"/>
  <c r="E213" i="30"/>
  <c r="E215" i="30"/>
  <c r="D6" i="28"/>
  <c r="H204" i="30"/>
  <c r="H205" i="30"/>
  <c r="H203" i="30"/>
  <c r="H148" i="30"/>
  <c r="G209" i="30"/>
  <c r="H54" i="29"/>
  <c r="H119" i="29" s="1"/>
  <c r="G119" i="29"/>
  <c r="H203" i="29"/>
  <c r="H148" i="29"/>
  <c r="H204" i="27"/>
  <c r="H205" i="27"/>
  <c r="H172" i="27"/>
  <c r="H215" i="27" s="1"/>
  <c r="H203" i="27"/>
  <c r="G209" i="27"/>
  <c r="H196" i="27"/>
  <c r="J134" i="30"/>
  <c r="I144" i="30"/>
  <c r="I146" i="30" s="1"/>
  <c r="J182" i="27"/>
  <c r="I192" i="27"/>
  <c r="I194" i="27" s="1"/>
  <c r="J158" i="27"/>
  <c r="I168" i="27"/>
  <c r="I170" i="27" s="1"/>
  <c r="I172" i="27" s="1"/>
  <c r="I215" i="27" s="1"/>
  <c r="J107" i="30"/>
  <c r="I117" i="30"/>
  <c r="J134" i="27"/>
  <c r="I144" i="27"/>
  <c r="I146" i="27" s="1"/>
  <c r="J158" i="29"/>
  <c r="I168" i="29"/>
  <c r="I170" i="29" s="1"/>
  <c r="J182" i="30"/>
  <c r="I192" i="30"/>
  <c r="I194" i="30" s="1"/>
  <c r="J107" i="29"/>
  <c r="I117" i="29"/>
  <c r="H172" i="29"/>
  <c r="H204" i="29"/>
  <c r="F6" i="28"/>
  <c r="G213" i="30"/>
  <c r="G215" i="30"/>
  <c r="J158" i="30"/>
  <c r="I168" i="30"/>
  <c r="I170" i="30" s="1"/>
  <c r="J134" i="29"/>
  <c r="I144" i="29"/>
  <c r="I146" i="29" s="1"/>
  <c r="J182" i="29"/>
  <c r="I192" i="29"/>
  <c r="I194" i="29" s="1"/>
  <c r="I196" i="29" s="1"/>
  <c r="H54" i="30"/>
  <c r="H119" i="30" s="1"/>
  <c r="H122" i="30" s="1"/>
  <c r="F3" i="28"/>
  <c r="G215" i="5"/>
  <c r="H172" i="5"/>
  <c r="G213" i="5"/>
  <c r="G122" i="5"/>
  <c r="G125" i="5"/>
  <c r="H119" i="5"/>
  <c r="H208" i="5" s="1"/>
  <c r="H203" i="5"/>
  <c r="G205" i="5"/>
  <c r="G209" i="5" s="1"/>
  <c r="H205" i="5"/>
  <c r="H204" i="5"/>
  <c r="F209" i="5"/>
  <c r="I168" i="5"/>
  <c r="I170" i="5" s="1"/>
  <c r="I192" i="5"/>
  <c r="I194" i="5" s="1"/>
  <c r="J107" i="5"/>
  <c r="I117" i="5"/>
  <c r="I144" i="5"/>
  <c r="I146" i="5" s="1"/>
  <c r="H208" i="29" l="1"/>
  <c r="H122" i="29"/>
  <c r="H125" i="29"/>
  <c r="H125" i="30"/>
  <c r="I204" i="30"/>
  <c r="I203" i="30"/>
  <c r="I148" i="30"/>
  <c r="I172" i="30"/>
  <c r="H208" i="30"/>
  <c r="H213" i="30" s="1"/>
  <c r="H209" i="30"/>
  <c r="I203" i="29"/>
  <c r="G122" i="29"/>
  <c r="G208" i="29"/>
  <c r="G125" i="29"/>
  <c r="I54" i="29"/>
  <c r="I119" i="29" s="1"/>
  <c r="I205" i="29"/>
  <c r="I148" i="29"/>
  <c r="I204" i="27"/>
  <c r="H209" i="27"/>
  <c r="I203" i="27"/>
  <c r="I148" i="27"/>
  <c r="K159" i="30"/>
  <c r="J168" i="30"/>
  <c r="J170" i="30" s="1"/>
  <c r="H215" i="29"/>
  <c r="G5" i="28"/>
  <c r="H213" i="29"/>
  <c r="K135" i="27"/>
  <c r="J144" i="27"/>
  <c r="J146" i="27" s="1"/>
  <c r="K108" i="30"/>
  <c r="J117" i="30"/>
  <c r="K183" i="29"/>
  <c r="J192" i="29"/>
  <c r="J194" i="29" s="1"/>
  <c r="J196" i="29" s="1"/>
  <c r="K159" i="27"/>
  <c r="J168" i="27"/>
  <c r="J170" i="27" s="1"/>
  <c r="J204" i="27" s="1"/>
  <c r="K159" i="29"/>
  <c r="J168" i="29"/>
  <c r="J170" i="29" s="1"/>
  <c r="J204" i="29" s="1"/>
  <c r="K108" i="29"/>
  <c r="J117" i="29"/>
  <c r="I196" i="27"/>
  <c r="I205" i="27"/>
  <c r="I209" i="27" s="1"/>
  <c r="I196" i="30"/>
  <c r="I205" i="30"/>
  <c r="K183" i="27"/>
  <c r="J192" i="27"/>
  <c r="J194" i="27" s="1"/>
  <c r="J205" i="27" s="1"/>
  <c r="I54" i="30"/>
  <c r="I119" i="30" s="1"/>
  <c r="I208" i="30" s="1"/>
  <c r="K183" i="30"/>
  <c r="J192" i="30"/>
  <c r="J194" i="30" s="1"/>
  <c r="J196" i="30" s="1"/>
  <c r="K135" i="29"/>
  <c r="J144" i="29"/>
  <c r="J146" i="29" s="1"/>
  <c r="J203" i="29" s="1"/>
  <c r="I172" i="29"/>
  <c r="I204" i="29"/>
  <c r="K135" i="30"/>
  <c r="J144" i="30"/>
  <c r="J146" i="30" s="1"/>
  <c r="J148" i="30" s="1"/>
  <c r="G3" i="28"/>
  <c r="H215" i="5"/>
  <c r="I172" i="5"/>
  <c r="I148" i="5"/>
  <c r="H213" i="5"/>
  <c r="H125" i="5"/>
  <c r="H122" i="5"/>
  <c r="I119" i="5"/>
  <c r="I208" i="5" s="1"/>
  <c r="H196" i="5"/>
  <c r="H209" i="5"/>
  <c r="I204" i="5"/>
  <c r="I196" i="5"/>
  <c r="I203" i="5"/>
  <c r="J192" i="5"/>
  <c r="J194" i="5" s="1"/>
  <c r="J168" i="5"/>
  <c r="J170" i="5" s="1"/>
  <c r="J144" i="5"/>
  <c r="J146" i="5" s="1"/>
  <c r="J148" i="5" s="1"/>
  <c r="K108" i="5"/>
  <c r="J117" i="5"/>
  <c r="J172" i="27" l="1"/>
  <c r="J215" i="27" s="1"/>
  <c r="I125" i="30"/>
  <c r="H215" i="30"/>
  <c r="I122" i="30"/>
  <c r="G6" i="28"/>
  <c r="J196" i="27"/>
  <c r="I209" i="30"/>
  <c r="J203" i="30"/>
  <c r="J205" i="30"/>
  <c r="J209" i="30" s="1"/>
  <c r="I125" i="29"/>
  <c r="I208" i="29"/>
  <c r="I213" i="29" s="1"/>
  <c r="I122" i="29"/>
  <c r="I209" i="29"/>
  <c r="J148" i="29"/>
  <c r="J172" i="29"/>
  <c r="F5" i="28"/>
  <c r="G215" i="29"/>
  <c r="G213" i="29"/>
  <c r="J205" i="29"/>
  <c r="J209" i="29" s="1"/>
  <c r="J203" i="27"/>
  <c r="J148" i="27"/>
  <c r="J209" i="27"/>
  <c r="H6" i="28"/>
  <c r="I213" i="30"/>
  <c r="I215" i="30"/>
  <c r="J54" i="29"/>
  <c r="J119" i="29" s="1"/>
  <c r="J125" i="29" s="1"/>
  <c r="L109" i="30"/>
  <c r="K117" i="30"/>
  <c r="L136" i="30"/>
  <c r="K144" i="30"/>
  <c r="K146" i="30" s="1"/>
  <c r="L160" i="29"/>
  <c r="K168" i="29"/>
  <c r="K170" i="29" s="1"/>
  <c r="K172" i="29" s="1"/>
  <c r="J172" i="30"/>
  <c r="J204" i="30"/>
  <c r="L184" i="30"/>
  <c r="K192" i="30"/>
  <c r="K194" i="30" s="1"/>
  <c r="J54" i="30"/>
  <c r="L136" i="27"/>
  <c r="K144" i="27"/>
  <c r="K146" i="27" s="1"/>
  <c r="K148" i="27" s="1"/>
  <c r="L184" i="27"/>
  <c r="K192" i="27"/>
  <c r="K194" i="27" s="1"/>
  <c r="L109" i="29"/>
  <c r="K117" i="29"/>
  <c r="L184" i="29"/>
  <c r="K192" i="29"/>
  <c r="K194" i="29" s="1"/>
  <c r="L136" i="29"/>
  <c r="K144" i="29"/>
  <c r="K146" i="29" s="1"/>
  <c r="K203" i="29" s="1"/>
  <c r="L160" i="27"/>
  <c r="K168" i="27"/>
  <c r="K170" i="27" s="1"/>
  <c r="L160" i="30"/>
  <c r="K168" i="30"/>
  <c r="K170" i="30" s="1"/>
  <c r="K172" i="30" s="1"/>
  <c r="I215" i="5"/>
  <c r="H3" i="28"/>
  <c r="J172" i="5"/>
  <c r="I213" i="5"/>
  <c r="I125" i="5"/>
  <c r="I122" i="5"/>
  <c r="J119" i="5"/>
  <c r="J208" i="5" s="1"/>
  <c r="J205" i="5"/>
  <c r="J203" i="5"/>
  <c r="I205" i="5"/>
  <c r="I209" i="5" s="1"/>
  <c r="J204" i="5"/>
  <c r="K168" i="5"/>
  <c r="K170" i="5" s="1"/>
  <c r="K172" i="5" s="1"/>
  <c r="K192" i="5"/>
  <c r="K194" i="5" s="1"/>
  <c r="J196" i="5"/>
  <c r="L109" i="5"/>
  <c r="M110" i="5" s="1"/>
  <c r="K117" i="5"/>
  <c r="K144" i="5"/>
  <c r="K146" i="5" s="1"/>
  <c r="K148" i="5" s="1"/>
  <c r="H5" i="28" l="1"/>
  <c r="K54" i="30"/>
  <c r="K119" i="30" s="1"/>
  <c r="K125" i="30" s="1"/>
  <c r="I215" i="29"/>
  <c r="K205" i="30"/>
  <c r="K196" i="30"/>
  <c r="J119" i="30"/>
  <c r="K203" i="30"/>
  <c r="K148" i="30"/>
  <c r="K204" i="30"/>
  <c r="K148" i="29"/>
  <c r="J122" i="29"/>
  <c r="K205" i="29"/>
  <c r="J208" i="29"/>
  <c r="J215" i="29" s="1"/>
  <c r="K196" i="29"/>
  <c r="K204" i="29"/>
  <c r="K203" i="27"/>
  <c r="K204" i="27"/>
  <c r="K172" i="27"/>
  <c r="K215" i="27" s="1"/>
  <c r="M110" i="29"/>
  <c r="L117" i="29"/>
  <c r="M110" i="30"/>
  <c r="L117" i="30"/>
  <c r="M137" i="30"/>
  <c r="L144" i="30"/>
  <c r="L146" i="30" s="1"/>
  <c r="L203" i="30" s="1"/>
  <c r="M161" i="27"/>
  <c r="L168" i="27"/>
  <c r="L170" i="27" s="1"/>
  <c r="M185" i="30"/>
  <c r="L192" i="30"/>
  <c r="L194" i="30" s="1"/>
  <c r="M137" i="29"/>
  <c r="L144" i="29"/>
  <c r="L146" i="29" s="1"/>
  <c r="M161" i="29"/>
  <c r="L168" i="29"/>
  <c r="L170" i="29" s="1"/>
  <c r="K196" i="27"/>
  <c r="K205" i="27"/>
  <c r="M185" i="27"/>
  <c r="L192" i="27"/>
  <c r="L194" i="27" s="1"/>
  <c r="J213" i="29"/>
  <c r="K54" i="29"/>
  <c r="K119" i="29" s="1"/>
  <c r="M161" i="30"/>
  <c r="L168" i="30"/>
  <c r="L170" i="30" s="1"/>
  <c r="L172" i="30" s="1"/>
  <c r="M185" i="29"/>
  <c r="L192" i="29"/>
  <c r="L194" i="29" s="1"/>
  <c r="M137" i="27"/>
  <c r="L144" i="27"/>
  <c r="L146" i="27" s="1"/>
  <c r="J215" i="5"/>
  <c r="I3" i="28"/>
  <c r="J213" i="5"/>
  <c r="J125" i="5"/>
  <c r="J122" i="5"/>
  <c r="K119" i="5"/>
  <c r="K208" i="5" s="1"/>
  <c r="K215" i="5" s="1"/>
  <c r="J209" i="5"/>
  <c r="K203" i="5"/>
  <c r="K205" i="5"/>
  <c r="K209" i="5" s="1"/>
  <c r="K204" i="5"/>
  <c r="K196" i="5"/>
  <c r="L168" i="5"/>
  <c r="L170" i="5" s="1"/>
  <c r="L192" i="5"/>
  <c r="L194" i="5" s="1"/>
  <c r="L144" i="5"/>
  <c r="L146" i="5" s="1"/>
  <c r="L148" i="5" s="1"/>
  <c r="L117" i="5"/>
  <c r="I5" i="28" l="1"/>
  <c r="K208" i="30"/>
  <c r="K213" i="30" s="1"/>
  <c r="K122" i="30"/>
  <c r="M148" i="30"/>
  <c r="K209" i="30"/>
  <c r="L204" i="30"/>
  <c r="J125" i="30"/>
  <c r="J208" i="30"/>
  <c r="J122" i="30"/>
  <c r="L148" i="30"/>
  <c r="K125" i="29"/>
  <c r="K122" i="29"/>
  <c r="K208" i="29"/>
  <c r="K215" i="29" s="1"/>
  <c r="L204" i="29"/>
  <c r="L172" i="29"/>
  <c r="K209" i="29"/>
  <c r="L205" i="29"/>
  <c r="L209" i="29" s="1"/>
  <c r="L203" i="29"/>
  <c r="L148" i="29"/>
  <c r="L196" i="29"/>
  <c r="L204" i="27"/>
  <c r="L172" i="27"/>
  <c r="L215" i="27" s="1"/>
  <c r="K209" i="27"/>
  <c r="L203" i="27"/>
  <c r="L148" i="27"/>
  <c r="K213" i="29"/>
  <c r="N186" i="30"/>
  <c r="M192" i="30"/>
  <c r="M194" i="30" s="1"/>
  <c r="M205" i="30" s="1"/>
  <c r="N138" i="30"/>
  <c r="M144" i="30"/>
  <c r="M146" i="30" s="1"/>
  <c r="N186" i="29"/>
  <c r="M192" i="29"/>
  <c r="M194" i="29" s="1"/>
  <c r="M205" i="29" s="1"/>
  <c r="N162" i="27"/>
  <c r="M168" i="27"/>
  <c r="M170" i="27" s="1"/>
  <c r="K215" i="30"/>
  <c r="N162" i="30"/>
  <c r="M168" i="30"/>
  <c r="M170" i="30" s="1"/>
  <c r="L54" i="29"/>
  <c r="L119" i="29" s="1"/>
  <c r="L196" i="27"/>
  <c r="L205" i="27"/>
  <c r="L209" i="27" s="1"/>
  <c r="N111" i="30"/>
  <c r="M117" i="30"/>
  <c r="N186" i="27"/>
  <c r="M192" i="27"/>
  <c r="M194" i="27" s="1"/>
  <c r="N138" i="29"/>
  <c r="M144" i="29"/>
  <c r="M146" i="29" s="1"/>
  <c r="N138" i="27"/>
  <c r="M144" i="27"/>
  <c r="M146" i="27" s="1"/>
  <c r="L54" i="30"/>
  <c r="M54" i="30" s="1"/>
  <c r="N162" i="29"/>
  <c r="M168" i="29"/>
  <c r="M170" i="29" s="1"/>
  <c r="L196" i="30"/>
  <c r="L205" i="30"/>
  <c r="L209" i="30" s="1"/>
  <c r="N111" i="29"/>
  <c r="M117" i="29"/>
  <c r="J3" i="28"/>
  <c r="L172" i="5"/>
  <c r="K213" i="5"/>
  <c r="K125" i="5"/>
  <c r="K122" i="5"/>
  <c r="L119" i="5"/>
  <c r="L208" i="5" s="1"/>
  <c r="L203" i="5"/>
  <c r="L205" i="5"/>
  <c r="L209" i="5" s="1"/>
  <c r="L204" i="5"/>
  <c r="L196" i="5"/>
  <c r="M192" i="5"/>
  <c r="M194" i="5" s="1"/>
  <c r="M168" i="5"/>
  <c r="M170" i="5" s="1"/>
  <c r="M172" i="5" s="1"/>
  <c r="N111" i="5"/>
  <c r="M117" i="5"/>
  <c r="M144" i="5"/>
  <c r="M146" i="5" s="1"/>
  <c r="M148" i="5" s="1"/>
  <c r="J5" i="28" l="1"/>
  <c r="M209" i="30"/>
  <c r="J6" i="28"/>
  <c r="M119" i="30"/>
  <c r="M122" i="30" s="1"/>
  <c r="M196" i="30"/>
  <c r="J215" i="30"/>
  <c r="I6" i="28"/>
  <c r="J213" i="30"/>
  <c r="M204" i="30"/>
  <c r="M172" i="30"/>
  <c r="M203" i="30"/>
  <c r="L119" i="30"/>
  <c r="L125" i="29"/>
  <c r="L208" i="29"/>
  <c r="L213" i="29" s="1"/>
  <c r="L122" i="29"/>
  <c r="M203" i="29"/>
  <c r="M148" i="29"/>
  <c r="M209" i="29"/>
  <c r="M196" i="29"/>
  <c r="M203" i="27"/>
  <c r="M148" i="27"/>
  <c r="M205" i="27"/>
  <c r="M209" i="27" s="1"/>
  <c r="M196" i="27"/>
  <c r="M204" i="27"/>
  <c r="M172" i="27"/>
  <c r="M215" i="27" s="1"/>
  <c r="M172" i="29"/>
  <c r="M204" i="29"/>
  <c r="M208" i="30"/>
  <c r="O163" i="30"/>
  <c r="N168" i="30"/>
  <c r="N170" i="30" s="1"/>
  <c r="O139" i="30"/>
  <c r="N144" i="30"/>
  <c r="N146" i="30" s="1"/>
  <c r="O112" i="30"/>
  <c r="N117" i="30"/>
  <c r="O187" i="30"/>
  <c r="N192" i="30"/>
  <c r="N194" i="30" s="1"/>
  <c r="O112" i="29"/>
  <c r="N117" i="29"/>
  <c r="O139" i="27"/>
  <c r="N144" i="27"/>
  <c r="N146" i="27" s="1"/>
  <c r="M54" i="29"/>
  <c r="M119" i="29" s="1"/>
  <c r="O187" i="29"/>
  <c r="N192" i="29"/>
  <c r="N194" i="29" s="1"/>
  <c r="O163" i="29"/>
  <c r="N168" i="29"/>
  <c r="N170" i="29" s="1"/>
  <c r="O163" i="27"/>
  <c r="N168" i="27"/>
  <c r="N170" i="27" s="1"/>
  <c r="O139" i="29"/>
  <c r="N144" i="29"/>
  <c r="N146" i="29" s="1"/>
  <c r="O187" i="27"/>
  <c r="N192" i="27"/>
  <c r="N194" i="27" s="1"/>
  <c r="L215" i="5"/>
  <c r="K3" i="28"/>
  <c r="L122" i="5"/>
  <c r="L213" i="5"/>
  <c r="L125" i="5"/>
  <c r="M119" i="5"/>
  <c r="M208" i="5" s="1"/>
  <c r="M215" i="5" s="1"/>
  <c r="M203" i="5"/>
  <c r="M204" i="5"/>
  <c r="N168" i="5"/>
  <c r="N170" i="5" s="1"/>
  <c r="N172" i="5" s="1"/>
  <c r="N192" i="5"/>
  <c r="N194" i="5" s="1"/>
  <c r="N144" i="5"/>
  <c r="N146" i="5" s="1"/>
  <c r="N148" i="5" s="1"/>
  <c r="O112" i="5"/>
  <c r="N117" i="5"/>
  <c r="M125" i="30" l="1"/>
  <c r="N54" i="30"/>
  <c r="M122" i="29"/>
  <c r="M125" i="29"/>
  <c r="K5" i="28"/>
  <c r="L215" i="29"/>
  <c r="L208" i="30"/>
  <c r="L122" i="30"/>
  <c r="L125" i="30"/>
  <c r="N204" i="30"/>
  <c r="N172" i="30"/>
  <c r="N119" i="30"/>
  <c r="N208" i="30" s="1"/>
  <c r="N203" i="30"/>
  <c r="N148" i="30"/>
  <c r="N203" i="29"/>
  <c r="N148" i="29"/>
  <c r="N205" i="29"/>
  <c r="N196" i="29"/>
  <c r="M208" i="29"/>
  <c r="L5" i="28" s="1"/>
  <c r="N203" i="27"/>
  <c r="N148" i="27"/>
  <c r="N205" i="27"/>
  <c r="N209" i="27" s="1"/>
  <c r="N196" i="27"/>
  <c r="N204" i="27"/>
  <c r="N172" i="27"/>
  <c r="N215" i="27" s="1"/>
  <c r="M213" i="30"/>
  <c r="M215" i="30"/>
  <c r="L6" i="28"/>
  <c r="P140" i="29"/>
  <c r="O144" i="29"/>
  <c r="O146" i="29" s="1"/>
  <c r="P188" i="29"/>
  <c r="O192" i="29"/>
  <c r="O194" i="29" s="1"/>
  <c r="P140" i="30"/>
  <c r="O144" i="30"/>
  <c r="O146" i="30" s="1"/>
  <c r="N54" i="29"/>
  <c r="N119" i="29" s="1"/>
  <c r="N122" i="29" s="1"/>
  <c r="P164" i="27"/>
  <c r="O168" i="27"/>
  <c r="O170" i="27" s="1"/>
  <c r="P164" i="30"/>
  <c r="O168" i="30"/>
  <c r="O170" i="30" s="1"/>
  <c r="P113" i="29"/>
  <c r="O117" i="29"/>
  <c r="P140" i="27"/>
  <c r="O144" i="27"/>
  <c r="O146" i="27" s="1"/>
  <c r="N172" i="29"/>
  <c r="N204" i="29"/>
  <c r="N196" i="30"/>
  <c r="N205" i="30"/>
  <c r="N209" i="30" s="1"/>
  <c r="P188" i="27"/>
  <c r="O192" i="27"/>
  <c r="O194" i="27" s="1"/>
  <c r="P164" i="29"/>
  <c r="O168" i="29"/>
  <c r="O170" i="29" s="1"/>
  <c r="P188" i="30"/>
  <c r="O192" i="30"/>
  <c r="O194" i="30" s="1"/>
  <c r="P113" i="30"/>
  <c r="O117" i="30"/>
  <c r="L3" i="28"/>
  <c r="M125" i="5"/>
  <c r="M213" i="5"/>
  <c r="N119" i="5"/>
  <c r="N208" i="5" s="1"/>
  <c r="N215" i="5" s="1"/>
  <c r="M122" i="5"/>
  <c r="N204" i="5"/>
  <c r="N203" i="5"/>
  <c r="M196" i="5"/>
  <c r="M205" i="5"/>
  <c r="M209" i="5" s="1"/>
  <c r="O192" i="5"/>
  <c r="O194" i="5" s="1"/>
  <c r="O168" i="5"/>
  <c r="O170" i="5" s="1"/>
  <c r="O172" i="5" s="1"/>
  <c r="P113" i="5"/>
  <c r="O117" i="5"/>
  <c r="O144" i="5"/>
  <c r="O146" i="5" s="1"/>
  <c r="O148" i="5" s="1"/>
  <c r="N122" i="30" l="1"/>
  <c r="N125" i="30"/>
  <c r="M215" i="29"/>
  <c r="M213" i="29"/>
  <c r="O203" i="30"/>
  <c r="O148" i="30"/>
  <c r="O204" i="30"/>
  <c r="O172" i="30"/>
  <c r="O205" i="30"/>
  <c r="O209" i="30" s="1"/>
  <c r="O196" i="30"/>
  <c r="L213" i="30"/>
  <c r="L215" i="30"/>
  <c r="K6" i="28"/>
  <c r="O204" i="29"/>
  <c r="O172" i="29"/>
  <c r="O203" i="29"/>
  <c r="O148" i="29"/>
  <c r="N125" i="29"/>
  <c r="N208" i="29"/>
  <c r="N213" i="29" s="1"/>
  <c r="N209" i="29"/>
  <c r="O205" i="29"/>
  <c r="O209" i="29" s="1"/>
  <c r="O196" i="29"/>
  <c r="O203" i="27"/>
  <c r="O148" i="27"/>
  <c r="O204" i="27"/>
  <c r="O172" i="27"/>
  <c r="O215" i="27" s="1"/>
  <c r="Q165" i="29"/>
  <c r="P168" i="29"/>
  <c r="P170" i="29" s="1"/>
  <c r="Q141" i="27"/>
  <c r="P144" i="27"/>
  <c r="P146" i="27" s="1"/>
  <c r="Q165" i="27"/>
  <c r="P168" i="27"/>
  <c r="P170" i="27" s="1"/>
  <c r="Q189" i="29"/>
  <c r="P192" i="29"/>
  <c r="P194" i="29" s="1"/>
  <c r="Q141" i="30"/>
  <c r="P144" i="30"/>
  <c r="P146" i="30" s="1"/>
  <c r="N215" i="29"/>
  <c r="Q114" i="30"/>
  <c r="P117" i="30"/>
  <c r="N213" i="30"/>
  <c r="M6" i="28"/>
  <c r="N215" i="30"/>
  <c r="O196" i="27"/>
  <c r="O205" i="27"/>
  <c r="O209" i="27" s="1"/>
  <c r="Q165" i="30"/>
  <c r="P168" i="30"/>
  <c r="P170" i="30" s="1"/>
  <c r="Q114" i="29"/>
  <c r="P117" i="29"/>
  <c r="Q141" i="29"/>
  <c r="P144" i="29"/>
  <c r="P146" i="29" s="1"/>
  <c r="Q189" i="27"/>
  <c r="P192" i="27"/>
  <c r="P194" i="27" s="1"/>
  <c r="O54" i="29"/>
  <c r="O119" i="29" s="1"/>
  <c r="O208" i="29" s="1"/>
  <c r="Q189" i="30"/>
  <c r="P192" i="30"/>
  <c r="P194" i="30" s="1"/>
  <c r="O54" i="30"/>
  <c r="O119" i="30" s="1"/>
  <c r="M3" i="28"/>
  <c r="N122" i="5"/>
  <c r="N213" i="5"/>
  <c r="N125" i="5"/>
  <c r="O119" i="5"/>
  <c r="O208" i="5" s="1"/>
  <c r="O215" i="5" s="1"/>
  <c r="O204" i="5"/>
  <c r="O203" i="5"/>
  <c r="N196" i="5"/>
  <c r="N205" i="5"/>
  <c r="N209" i="5" s="1"/>
  <c r="P168" i="5"/>
  <c r="P170" i="5" s="1"/>
  <c r="P172" i="5" s="1"/>
  <c r="P192" i="5"/>
  <c r="P194" i="5" s="1"/>
  <c r="P144" i="5"/>
  <c r="P146" i="5" s="1"/>
  <c r="P148" i="5" s="1"/>
  <c r="Q114" i="5"/>
  <c r="P117" i="5"/>
  <c r="M5" i="28" l="1"/>
  <c r="O208" i="30"/>
  <c r="O122" i="30"/>
  <c r="O125" i="30"/>
  <c r="P204" i="30"/>
  <c r="P172" i="30"/>
  <c r="P203" i="30"/>
  <c r="P148" i="30"/>
  <c r="P205" i="30"/>
  <c r="P209" i="30" s="1"/>
  <c r="P196" i="30"/>
  <c r="P203" i="29"/>
  <c r="P148" i="29"/>
  <c r="P204" i="29"/>
  <c r="P172" i="29"/>
  <c r="O122" i="29"/>
  <c r="P119" i="29"/>
  <c r="P125" i="29" s="1"/>
  <c r="P205" i="29"/>
  <c r="P209" i="29" s="1"/>
  <c r="P196" i="29"/>
  <c r="O125" i="29"/>
  <c r="P54" i="29"/>
  <c r="P204" i="27"/>
  <c r="P172" i="27"/>
  <c r="P215" i="27" s="1"/>
  <c r="P205" i="27"/>
  <c r="P209" i="27" s="1"/>
  <c r="P196" i="27"/>
  <c r="P203" i="27"/>
  <c r="P148" i="27"/>
  <c r="R190" i="30"/>
  <c r="R192" i="30" s="1"/>
  <c r="R194" i="30" s="1"/>
  <c r="Q192" i="30"/>
  <c r="Q194" i="30" s="1"/>
  <c r="O215" i="29"/>
  <c r="N5" i="28"/>
  <c r="O213" i="29"/>
  <c r="R166" i="27"/>
  <c r="R168" i="27" s="1"/>
  <c r="R170" i="27" s="1"/>
  <c r="Q168" i="27"/>
  <c r="Q170" i="27" s="1"/>
  <c r="R142" i="27"/>
  <c r="R144" i="27" s="1"/>
  <c r="R146" i="27" s="1"/>
  <c r="Q144" i="27"/>
  <c r="Q146" i="27" s="1"/>
  <c r="R115" i="29"/>
  <c r="R117" i="29" s="1"/>
  <c r="Q117" i="29"/>
  <c r="N6" i="28"/>
  <c r="O215" i="30"/>
  <c r="O213" i="30"/>
  <c r="R142" i="30"/>
  <c r="R144" i="30" s="1"/>
  <c r="R146" i="30" s="1"/>
  <c r="Q144" i="30"/>
  <c r="Q146" i="30" s="1"/>
  <c r="R115" i="30"/>
  <c r="R117" i="30" s="1"/>
  <c r="Q117" i="30"/>
  <c r="R190" i="27"/>
  <c r="R192" i="27" s="1"/>
  <c r="R194" i="27" s="1"/>
  <c r="Q192" i="27"/>
  <c r="Q194" i="27" s="1"/>
  <c r="R166" i="30"/>
  <c r="R168" i="30" s="1"/>
  <c r="R170" i="30" s="1"/>
  <c r="Q168" i="30"/>
  <c r="Q170" i="30" s="1"/>
  <c r="P54" i="30"/>
  <c r="P119" i="30" s="1"/>
  <c r="R142" i="29"/>
  <c r="R144" i="29" s="1"/>
  <c r="R146" i="29" s="1"/>
  <c r="Q144" i="29"/>
  <c r="Q146" i="29" s="1"/>
  <c r="R190" i="29"/>
  <c r="R192" i="29" s="1"/>
  <c r="R194" i="29" s="1"/>
  <c r="Q192" i="29"/>
  <c r="Q194" i="29" s="1"/>
  <c r="R166" i="29"/>
  <c r="R168" i="29" s="1"/>
  <c r="R170" i="29" s="1"/>
  <c r="Q168" i="29"/>
  <c r="Q170" i="29" s="1"/>
  <c r="N3" i="28"/>
  <c r="O122" i="5"/>
  <c r="O125" i="5"/>
  <c r="O213" i="5"/>
  <c r="P119" i="5"/>
  <c r="P208" i="5" s="1"/>
  <c r="P215" i="5" s="1"/>
  <c r="P204" i="5"/>
  <c r="P203" i="5"/>
  <c r="O196" i="5"/>
  <c r="O205" i="5"/>
  <c r="O209" i="5" s="1"/>
  <c r="R192" i="5"/>
  <c r="R194" i="5" s="1"/>
  <c r="Q192" i="5"/>
  <c r="Q194" i="5" s="1"/>
  <c r="R168" i="5"/>
  <c r="R170" i="5" s="1"/>
  <c r="Q168" i="5"/>
  <c r="Q170" i="5" s="1"/>
  <c r="Q172" i="5" s="1"/>
  <c r="R115" i="5"/>
  <c r="R117" i="5" s="1"/>
  <c r="Q117" i="5"/>
  <c r="R144" i="5"/>
  <c r="R146" i="5" s="1"/>
  <c r="Q144" i="5"/>
  <c r="Q146" i="5" s="1"/>
  <c r="Q148" i="5" s="1"/>
  <c r="P125" i="30" l="1"/>
  <c r="P208" i="30"/>
  <c r="P215" i="30" s="1"/>
  <c r="P122" i="30"/>
  <c r="Q203" i="30"/>
  <c r="Q148" i="30"/>
  <c r="Q205" i="30"/>
  <c r="Q209" i="30" s="1"/>
  <c r="Q196" i="30"/>
  <c r="R204" i="30"/>
  <c r="R172" i="30"/>
  <c r="Q204" i="30"/>
  <c r="Q172" i="30"/>
  <c r="R203" i="30"/>
  <c r="R148" i="30"/>
  <c r="Q54" i="30"/>
  <c r="R54" i="30" s="1"/>
  <c r="R119" i="30" s="1"/>
  <c r="R125" i="30" s="1"/>
  <c r="R205" i="30"/>
  <c r="R196" i="30"/>
  <c r="Q204" i="29"/>
  <c r="Q172" i="29"/>
  <c r="P122" i="29"/>
  <c r="R205" i="29"/>
  <c r="R196" i="29"/>
  <c r="P208" i="29"/>
  <c r="O5" i="28" s="1"/>
  <c r="Q203" i="29"/>
  <c r="Q148" i="29"/>
  <c r="R203" i="29"/>
  <c r="R148" i="29"/>
  <c r="R204" i="29"/>
  <c r="R172" i="29"/>
  <c r="Q205" i="29"/>
  <c r="Q209" i="29" s="1"/>
  <c r="Q196" i="29"/>
  <c r="Q203" i="27"/>
  <c r="Q148" i="27"/>
  <c r="R204" i="27"/>
  <c r="R172" i="27"/>
  <c r="R215" i="27" s="1"/>
  <c r="Q205" i="27"/>
  <c r="Q209" i="27" s="1"/>
  <c r="Q196" i="27"/>
  <c r="R203" i="27"/>
  <c r="R148" i="27"/>
  <c r="R205" i="27"/>
  <c r="R196" i="27"/>
  <c r="Q204" i="27"/>
  <c r="Q172" i="27"/>
  <c r="Q215" i="27" s="1"/>
  <c r="Q54" i="29"/>
  <c r="R54" i="29" s="1"/>
  <c r="R119" i="29" s="1"/>
  <c r="O3" i="28"/>
  <c r="R172" i="5"/>
  <c r="R148" i="5"/>
  <c r="P122" i="5"/>
  <c r="P213" i="5"/>
  <c r="P125" i="5"/>
  <c r="Q119" i="5"/>
  <c r="Q208" i="5" s="1"/>
  <c r="Q215" i="5" s="1"/>
  <c r="R119" i="5"/>
  <c r="R122" i="5" s="1"/>
  <c r="R205" i="5"/>
  <c r="Q203" i="5"/>
  <c r="R203" i="5"/>
  <c r="Q204" i="5"/>
  <c r="R204" i="5"/>
  <c r="P196" i="5"/>
  <c r="P205" i="5"/>
  <c r="P209" i="5" s="1"/>
  <c r="P213" i="30" l="1"/>
  <c r="O6" i="28"/>
  <c r="R208" i="30"/>
  <c r="Q119" i="30"/>
  <c r="Q122" i="30" s="1"/>
  <c r="P213" i="29"/>
  <c r="R122" i="30"/>
  <c r="R209" i="29"/>
  <c r="P215" i="29"/>
  <c r="R209" i="30"/>
  <c r="Q119" i="29"/>
  <c r="R209" i="27"/>
  <c r="R125" i="29"/>
  <c r="R122" i="29"/>
  <c r="R208" i="29"/>
  <c r="Q6" i="28"/>
  <c r="R215" i="30"/>
  <c r="R213" i="30"/>
  <c r="P3" i="28"/>
  <c r="Q213" i="5"/>
  <c r="Q122" i="5"/>
  <c r="R125" i="5"/>
  <c r="R208" i="5"/>
  <c r="R215" i="5" s="1"/>
  <c r="Q125" i="5"/>
  <c r="Q196" i="5"/>
  <c r="Q205" i="5"/>
  <c r="Q209" i="5" s="1"/>
  <c r="R196" i="5"/>
  <c r="Q208" i="30" l="1"/>
  <c r="Q213" i="30" s="1"/>
  <c r="Q125" i="30"/>
  <c r="P6" i="28"/>
  <c r="Q215" i="30"/>
  <c r="Q122" i="29"/>
  <c r="Q208" i="29"/>
  <c r="Q125" i="29"/>
  <c r="R215" i="29"/>
  <c r="R213" i="29"/>
  <c r="Q5" i="28"/>
  <c r="Q3" i="28"/>
  <c r="R213" i="5"/>
  <c r="R209" i="5"/>
  <c r="Q215" i="29" l="1"/>
  <c r="Q213" i="29"/>
  <c r="P5" i="28"/>
  <c r="U19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Lenning, Benjamin A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Lenning, Benjamin A:</t>
        </r>
        <r>
          <rPr>
            <sz val="9"/>
            <color indexed="81"/>
            <rFont val="Tahoma"/>
            <family val="2"/>
          </rPr>
          <t xml:space="preserve">
ENTER CURRENT TOTAL PORTFOLIO VALUE</t>
        </r>
      </text>
    </comment>
    <comment ref="C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Lenning, Benjamin A:</t>
        </r>
        <r>
          <rPr>
            <sz val="9"/>
            <color indexed="81"/>
            <rFont val="Tahoma"/>
            <family val="2"/>
          </rPr>
          <t xml:space="preserve">
ADD IN ANY KNOWN NEW MONEY INFLOWS OR OUTFLOWS OVER THE YEARS (excl. portfolio appreciation which is defined in cell B1)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Lenning, Benjamin A</author>
  </authors>
  <commentList>
    <comment ref="B3" authorId="0" shapeId="0" xr:uid="{DC9A0E11-7FEC-4CAD-97CC-AFFC4B1F3AD7}">
      <text>
        <r>
          <rPr>
            <b/>
            <sz val="9"/>
            <color indexed="81"/>
            <rFont val="Tahoma"/>
            <family val="2"/>
          </rPr>
          <t>Lenning, Benjamin A:</t>
        </r>
        <r>
          <rPr>
            <sz val="9"/>
            <color indexed="81"/>
            <rFont val="Tahoma"/>
            <family val="2"/>
          </rPr>
          <t xml:space="preserve">
ENTER CURRENT TOTAL PORTFOLIO VALUE</t>
        </r>
      </text>
    </comment>
    <comment ref="C3" authorId="0" shapeId="0" xr:uid="{61521814-64A4-45D3-9211-8382B7197B9A}">
      <text>
        <r>
          <rPr>
            <b/>
            <sz val="9"/>
            <color indexed="81"/>
            <rFont val="Tahoma"/>
            <family val="2"/>
          </rPr>
          <t>Lenning, Benjamin A:</t>
        </r>
        <r>
          <rPr>
            <sz val="9"/>
            <color indexed="81"/>
            <rFont val="Tahoma"/>
            <family val="2"/>
          </rPr>
          <t xml:space="preserve">
ADD IN ANY KNOWN NEW MONEY INFLOWS OR OUTFLOWS OVER THE YEARS (excl. portfolio appreciation which is defined in cell B1)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Lenning, Benjamin A</author>
  </authors>
  <commentList>
    <comment ref="B3" authorId="0" shapeId="0" xr:uid="{C7DC99C8-C15B-4883-BBCB-CDEA3FB2B2C8}">
      <text>
        <r>
          <rPr>
            <b/>
            <sz val="9"/>
            <color indexed="81"/>
            <rFont val="Tahoma"/>
            <family val="2"/>
          </rPr>
          <t>Lenning, Benjamin A:</t>
        </r>
        <r>
          <rPr>
            <sz val="9"/>
            <color indexed="81"/>
            <rFont val="Tahoma"/>
            <family val="2"/>
          </rPr>
          <t xml:space="preserve">
ENTER CURRENT TOTAL PORTFOLIO VALUE</t>
        </r>
      </text>
    </comment>
    <comment ref="C3" authorId="0" shapeId="0" xr:uid="{0FA9B571-B427-40EB-8346-A4FDC1D4FA39}">
      <text>
        <r>
          <rPr>
            <b/>
            <sz val="9"/>
            <color indexed="81"/>
            <rFont val="Tahoma"/>
            <family val="2"/>
          </rPr>
          <t>Lenning, Benjamin A:</t>
        </r>
        <r>
          <rPr>
            <sz val="9"/>
            <color indexed="81"/>
            <rFont val="Tahoma"/>
            <family val="2"/>
          </rPr>
          <t xml:space="preserve">
ADD IN ANY KNOWN NEW MONEY INFLOWS OR OUTFLOWS OVER THE YEARS (excl. portfolio appreciation which is defined in cell B1)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Lenning, Benjamin A</author>
  </authors>
  <commentList>
    <comment ref="B3" authorId="0" shapeId="0" xr:uid="{ADE57A3F-8B03-4CA1-9477-4E631DA90945}">
      <text>
        <r>
          <rPr>
            <b/>
            <sz val="9"/>
            <color indexed="81"/>
            <rFont val="Tahoma"/>
            <family val="2"/>
          </rPr>
          <t>Lenning, Benjamin A:</t>
        </r>
        <r>
          <rPr>
            <sz val="9"/>
            <color indexed="81"/>
            <rFont val="Tahoma"/>
            <family val="2"/>
          </rPr>
          <t xml:space="preserve">
ENTER CURRENT TOTAL PORTFOLIO VALUE</t>
        </r>
      </text>
    </comment>
    <comment ref="C3" authorId="0" shapeId="0" xr:uid="{AB386F10-485D-42FA-BB6D-5A9A47C671FF}">
      <text>
        <r>
          <rPr>
            <b/>
            <sz val="9"/>
            <color indexed="81"/>
            <rFont val="Tahoma"/>
            <family val="2"/>
          </rPr>
          <t>Lenning, Benjamin A:</t>
        </r>
        <r>
          <rPr>
            <sz val="9"/>
            <color indexed="81"/>
            <rFont val="Tahoma"/>
            <family val="2"/>
          </rPr>
          <t xml:space="preserve">
ADD IN ANY KNOWN NEW MONEY INFLOWS OR OUTFLOWS OVER THE YEARS (excl. portfolio appreciation which is defined in cell B1)</t>
        </r>
      </text>
    </comment>
  </commentList>
</comments>
</file>

<file path=xl/sharedStrings.xml><?xml version="1.0" encoding="utf-8"?>
<sst xmlns="http://schemas.openxmlformats.org/spreadsheetml/2006/main" count="1912" uniqueCount="324">
  <si>
    <t>Commitment</t>
  </si>
  <si>
    <t>Total</t>
  </si>
  <si>
    <t>Net Cash Flow</t>
  </si>
  <si>
    <t>Net Asset Value</t>
  </si>
  <si>
    <t>Total Assets</t>
  </si>
  <si>
    <t>Year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</si>
  <si>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</si>
  <si>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</si>
  <si>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</si>
  <si>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</si>
  <si>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</si>
  <si>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</si>
  <si>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</si>
  <si>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</si>
  <si>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</si>
  <si>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</si>
  <si>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</si>
  <si>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</si>
  <si>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</si>
  <si>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</si>
  <si>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</si>
  <si>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Buyout</t>
  </si>
  <si>
    <t>PICC</t>
  </si>
  <si>
    <t>RVCC</t>
  </si>
  <si>
    <t>Net</t>
  </si>
  <si>
    <t>Cumulative</t>
  </si>
  <si>
    <t>Annual</t>
  </si>
  <si>
    <t>Growth Equity</t>
  </si>
  <si>
    <t>PE Target (%)</t>
  </si>
  <si>
    <t>PE Target ($)</t>
  </si>
  <si>
    <t>New Commitments</t>
  </si>
  <si>
    <t>Target Portfolio</t>
  </si>
  <si>
    <t>Blended</t>
  </si>
  <si>
    <t>Total New</t>
  </si>
  <si>
    <t>Total Mandate MV</t>
  </si>
  <si>
    <t>%</t>
  </si>
  <si>
    <t>DCC</t>
  </si>
  <si>
    <t>Net Cash Flow Cumulative</t>
  </si>
  <si>
    <t>Annual Capital Called</t>
  </si>
  <si>
    <t>Annual Distributions</t>
  </si>
  <si>
    <t>Private Credit</t>
  </si>
  <si>
    <t>After-tax annualized investment return:</t>
  </si>
  <si>
    <t>Real Estate</t>
  </si>
  <si>
    <t>New Money Ins/Outs</t>
  </si>
  <si>
    <t>Current Market Value</t>
  </si>
  <si>
    <t>**Make sure this sums to 100%</t>
  </si>
  <si>
    <t>% of Total Portfolio Value</t>
  </si>
  <si>
    <t>Portfolio Value</t>
  </si>
  <si>
    <t>Commitments</t>
  </si>
  <si>
    <t>Venture Capital</t>
  </si>
  <si>
    <t>Fund of Funds</t>
  </si>
  <si>
    <t>Secondary Funds</t>
  </si>
  <si>
    <t>Year 25</t>
  </si>
  <si>
    <t>Year 24</t>
  </si>
  <si>
    <t>Year 23</t>
  </si>
  <si>
    <t>Year 22</t>
  </si>
  <si>
    <t>Year 21</t>
  </si>
  <si>
    <t>Year 20</t>
  </si>
  <si>
    <t>Year 19</t>
  </si>
  <si>
    <t>Year 18</t>
  </si>
  <si>
    <t>Year 17</t>
  </si>
  <si>
    <t>Year 16</t>
  </si>
  <si>
    <t>EXISTING PORTFOLIO</t>
  </si>
  <si>
    <t>PI Portfolio NAV</t>
  </si>
  <si>
    <t>FOR ANNUAL CHART</t>
  </si>
  <si>
    <t>FOR CUMULATIVE CHART</t>
  </si>
  <si>
    <t>Annual Net Cash Flow</t>
  </si>
  <si>
    <t>PI Portfolio NAV as a % of Overall</t>
  </si>
  <si>
    <t>Est. Capital at Risk (Capital Called, net of Distributions)</t>
  </si>
  <si>
    <t>Annual Standard Deviation</t>
  </si>
  <si>
    <t>Cumulative Standard Deviation</t>
  </si>
  <si>
    <t>std</t>
  </si>
  <si>
    <t>mean</t>
  </si>
  <si>
    <t>Age in Q</t>
  </si>
  <si>
    <t>Years since inception</t>
  </si>
  <si>
    <t>RVCC 50 yearly</t>
  </si>
  <si>
    <t>DCC 50 yearly</t>
  </si>
  <si>
    <t>PICC 50 yearly</t>
  </si>
  <si>
    <t>Implied TVPI</t>
  </si>
  <si>
    <t>Net CF yearly</t>
  </si>
  <si>
    <t>Net 50 yearly</t>
  </si>
  <si>
    <t>PICC 50 cumulative</t>
  </si>
  <si>
    <t>DCC 50 cumulative</t>
  </si>
  <si>
    <t>Net 50 cumulative</t>
  </si>
  <si>
    <t>RVCC 50 cumulative</t>
  </si>
  <si>
    <t/>
  </si>
  <si>
    <t>HPS SIP V Private Investors Offshore I SICAV-RAIF S.C.Sp.</t>
  </si>
  <si>
    <t>Ares COF VI Private Investors Offshore, L.P.</t>
  </si>
  <si>
    <t>Next Gen Real Estate Offshore SICAV-RAIF S.C.Sp.</t>
  </si>
  <si>
    <t>SOF XII Private Investors Offshore 1, L.P.</t>
  </si>
  <si>
    <t>KKR Asia IV Private Investors Offshore SICAV-RAIF S.C.Sp.</t>
  </si>
  <si>
    <t>VP Dislocation Fund Private Investors Offshore LP</t>
  </si>
  <si>
    <t>SVSS V Private Investors Offshore, L.P.</t>
  </si>
  <si>
    <t>CD&amp;R Fund XII Private Investors Cayman, L.P.</t>
  </si>
  <si>
    <t>NEA 18 Private Investors Offshore, L.P.</t>
  </si>
  <si>
    <t>DFJ Growth IV Private Investors Offshore, L.P.</t>
  </si>
  <si>
    <t>Sculptor Real Estate IV Private Investors Offshore, L.P.</t>
  </si>
  <si>
    <t>RC II Private Investors Offshore, L.P.</t>
  </si>
  <si>
    <t>GA 2021 Private Investors Offshore SICAV-RAIF S.C.Sp</t>
  </si>
  <si>
    <t>PSG V Private Investors Offshore, L.P.</t>
  </si>
  <si>
    <t>VP Dislocation Fund II Private Investors Offshore, L.P.</t>
  </si>
  <si>
    <t>Industry Ventures IX Private Investors Offshore, L.P.</t>
  </si>
  <si>
    <t>SLW III Private Investors Offshore, L.P.</t>
  </si>
  <si>
    <t>JLL Partners Fund VIII, L.P.</t>
  </si>
  <si>
    <t>HPS Mezzanine Private Investors Offshore 2019, L.P.</t>
  </si>
  <si>
    <t>Altaris Health Partners V Private Investors Offshore, L.P.</t>
  </si>
  <si>
    <t>AP X Private Investors Offshore, L.P.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</si>
  <si>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</si>
  <si>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</si>
  <si>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</si>
  <si>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</si>
  <si>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</si>
  <si>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</si>
  <si>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</si>
  <si>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</si>
  <si>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</si>
  <si>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</si>
  <si>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</si>
  <si>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2025</t>
  </si>
  <si>
    <t>2024</t>
  </si>
  <si>
    <t>2023</t>
  </si>
  <si>
    <t>2022</t>
  </si>
  <si>
    <t>2021</t>
  </si>
  <si>
    <t>2020</t>
  </si>
  <si>
    <t>2019</t>
  </si>
  <si>
    <t>Fund Name</t>
  </si>
  <si>
    <t>NM</t>
  </si>
  <si>
    <t>09-May-2022</t>
  </si>
  <si>
    <t>30-Sep-2022</t>
  </si>
  <si>
    <t>Global</t>
  </si>
  <si>
    <t>Developed Markets</t>
  </si>
  <si>
    <t>Growth Equity / Venture Capital</t>
  </si>
  <si>
    <t>NA</t>
  </si>
  <si>
    <t>NEA 18 Private Investors Offshore, L.P. - Cash Only - Class A</t>
  </si>
  <si>
    <t>NEA 18 Offshore</t>
  </si>
  <si>
    <t>MSCI ACWI NR USD</t>
  </si>
  <si>
    <t>30-Nov-2021</t>
  </si>
  <si>
    <t>08/2026</t>
  </si>
  <si>
    <t>08/2036</t>
  </si>
  <si>
    <t>GA 2021 Private Investors Offshore SICAV-RAIF S.C.Sp - Class A</t>
  </si>
  <si>
    <t>General Atlantic 2021 Offshore</t>
  </si>
  <si>
    <t>19-Jul-2021</t>
  </si>
  <si>
    <t>06/2023</t>
  </si>
  <si>
    <t>12/2026</t>
  </si>
  <si>
    <t>RC II Private Investors Offshore, L.P. - Class A</t>
  </si>
  <si>
    <t>RC II Offshore</t>
  </si>
  <si>
    <t>S&amp;P 500 TR USD</t>
  </si>
  <si>
    <t>02-Mar-2021</t>
  </si>
  <si>
    <t>North America</t>
  </si>
  <si>
    <t>07/2025</t>
  </si>
  <si>
    <t>07/2030</t>
  </si>
  <si>
    <t>Industry Ventures IX Private Investors Offshore, L.P. - Class A</t>
  </si>
  <si>
    <t>Industry Ventures IX</t>
  </si>
  <si>
    <t>03-Aug-2020</t>
  </si>
  <si>
    <t>06/2026</t>
  </si>
  <si>
    <t>06/2030</t>
  </si>
  <si>
    <t>DFJ Growth IV Private Investors Offshore, L.P. - Class A</t>
  </si>
  <si>
    <t>14-Mar-2022</t>
  </si>
  <si>
    <t>Real Assets</t>
  </si>
  <si>
    <t>02/2023</t>
  </si>
  <si>
    <t>07/2033</t>
  </si>
  <si>
    <t>Next Gen Real Estate Offshore SICAV-RAIF S.C.Sp. - Class A</t>
  </si>
  <si>
    <t>Next Gen Real Estate Offshore</t>
  </si>
  <si>
    <t>S&amp;P Global REIT USD TR</t>
  </si>
  <si>
    <t>03-Jan-2022</t>
  </si>
  <si>
    <t>Opportunistic / Value-Add</t>
  </si>
  <si>
    <t>03/2026</t>
  </si>
  <si>
    <t>03/2032</t>
  </si>
  <si>
    <t>SOF XII Private Investors Offshore 1, L.P.  - Class A</t>
  </si>
  <si>
    <t>03-Apr-2020</t>
  </si>
  <si>
    <t>10/2024</t>
  </si>
  <si>
    <t>10/2028</t>
  </si>
  <si>
    <t>Sculptor Real Estate IV Private Investors Offshore, L.P. - Class A</t>
  </si>
  <si>
    <t>01-Jan-0001</t>
  </si>
  <si>
    <t>Distressed Credit</t>
  </si>
  <si>
    <t>VP Dislocation Fund II Private Investors Offshore L.P. - Class A - Fifth Close</t>
  </si>
  <si>
    <t>Varde Dislocation Fund II - Offshore</t>
  </si>
  <si>
    <t>13-Sep-2022</t>
  </si>
  <si>
    <t>Direct Lending</t>
  </si>
  <si>
    <t>11/2027</t>
  </si>
  <si>
    <t>11/2035</t>
  </si>
  <si>
    <t>HPS SIP V Private Investors Offshore I SICAV-RAIF S.C.Sp. - Class A</t>
  </si>
  <si>
    <t>HPS SIP V Offshore</t>
  </si>
  <si>
    <t>JPMorgan High Yield Bond Index</t>
  </si>
  <si>
    <t>12-May-2021</t>
  </si>
  <si>
    <t>08/2025</t>
  </si>
  <si>
    <t>08/2028</t>
  </si>
  <si>
    <t>SVSS V Private Investors Offshore, L.P - Class A</t>
  </si>
  <si>
    <t>SVSS V</t>
  </si>
  <si>
    <t>27-Apr-2020</t>
  </si>
  <si>
    <t>03/2025</t>
  </si>
  <si>
    <t>03/2030</t>
  </si>
  <si>
    <t>SLW III Private Investors Offshore, L.P. - Class A</t>
  </si>
  <si>
    <t>Silver Lake Waterman III Private Investors Offshore, L.P.</t>
  </si>
  <si>
    <t>26-Mar-2020</t>
  </si>
  <si>
    <t>09/2021</t>
  </si>
  <si>
    <t>09/2024</t>
  </si>
  <si>
    <t>VP Dislocation Fund - Offshore - Class A</t>
  </si>
  <si>
    <t>Varde Partners Dislocation Fund Private Investors Offshore LP</t>
  </si>
  <si>
    <t>29-Aug-2019</t>
  </si>
  <si>
    <t>04/2023</t>
  </si>
  <si>
    <t>04/2029</t>
  </si>
  <si>
    <t>HPS Mezzanine Private Investors Offshore 2019 II, L.P.</t>
  </si>
  <si>
    <t>Large Cap / All Cap</t>
  </si>
  <si>
    <t>Core Private Equity</t>
  </si>
  <si>
    <t>01/2028</t>
  </si>
  <si>
    <t>01/2033</t>
  </si>
  <si>
    <t>CD&amp;R Fund XII Private Investors Cayman, L.P. - Class A</t>
  </si>
  <si>
    <t>CD&amp;R Fund XII Offshore</t>
  </si>
  <si>
    <t>AP XI Private Investors Offshore SICAV-RAIF S.C.Sp. - Class A</t>
  </si>
  <si>
    <t>Apax XI Offshore</t>
  </si>
  <si>
    <t>22-Dec-2021</t>
  </si>
  <si>
    <t>Small Cap / Mid Cap</t>
  </si>
  <si>
    <t>05/2026</t>
  </si>
  <si>
    <t>05/2031</t>
  </si>
  <si>
    <t>PSG V Private Investors Offshore, L.P. - Class A</t>
  </si>
  <si>
    <t>PSG V Offshore</t>
  </si>
  <si>
    <t>26-Feb-2021</t>
  </si>
  <si>
    <t>09/2026</t>
  </si>
  <si>
    <t>09/2031</t>
  </si>
  <si>
    <t>Ares COF VI Private Investors Offshore, L.P. - Class A</t>
  </si>
  <si>
    <t>Ares Corporate Opportunities Fund VI - Offshore</t>
  </si>
  <si>
    <t>MSCI EM NR USD</t>
  </si>
  <si>
    <t>26-May-2021</t>
  </si>
  <si>
    <t>Asia</t>
  </si>
  <si>
    <t>Emerging Markets</t>
  </si>
  <si>
    <t>01/2025</t>
  </si>
  <si>
    <t>01/2031</t>
  </si>
  <si>
    <t>KKR Asia IV Private Investors Offshore SICAV-RAIF S.C.Sp. - Class A</t>
  </si>
  <si>
    <t>KKR Asia IV Private Investors Offshore</t>
  </si>
  <si>
    <t>21-Apr-2021</t>
  </si>
  <si>
    <t>04/2027</t>
  </si>
  <si>
    <t>12/2031</t>
  </si>
  <si>
    <t>Altaris Health Partners V Private Investors Offshore, L.P. - Class A</t>
  </si>
  <si>
    <t>09-Nov-2020</t>
  </si>
  <si>
    <t>10/2025</t>
  </si>
  <si>
    <t>10/2030</t>
  </si>
  <si>
    <t>AP X Private Investors Offshore, L.P. - Class A</t>
  </si>
  <si>
    <t>Apax Partners X Private Investors Offshore, L.P.</t>
  </si>
  <si>
    <t>05-Jun-2020</t>
  </si>
  <si>
    <t>06/2025</t>
  </si>
  <si>
    <t>02/2029</t>
  </si>
  <si>
    <t>JLL Partners Fund VIII, L.P. Class A</t>
  </si>
  <si>
    <t>JLL VIII</t>
  </si>
  <si>
    <t>Excess Return (Based on Custom Benchmark)</t>
  </si>
  <si>
    <t>Custom Benchmark PME IRR</t>
  </si>
  <si>
    <t>Custom Benchmark</t>
  </si>
  <si>
    <t>Excess Return (Based on default benchmark)</t>
  </si>
  <si>
    <t>Default Benchmark PME IRR</t>
  </si>
  <si>
    <t>Default Benchmark</t>
  </si>
  <si>
    <t>First Capital Call Date</t>
  </si>
  <si>
    <t>GROSS MOI</t>
  </si>
  <si>
    <t>NET MOI</t>
  </si>
  <si>
    <t>NET 10YR IRR (%)</t>
  </si>
  <si>
    <t>NET 5YR IRR (%)</t>
  </si>
  <si>
    <t>NET 3YR IRR (%)</t>
  </si>
  <si>
    <t>NET 1YR IRR (%)</t>
  </si>
  <si>
    <t>GROSS IRR (%)</t>
  </si>
  <si>
    <t>NET IRR (%)</t>
  </si>
  <si>
    <t>TVPI</t>
  </si>
  <si>
    <t>As of Date</t>
  </si>
  <si>
    <t>Capital Account Value ($)</t>
  </si>
  <si>
    <t>Fund ID</t>
  </si>
  <si>
    <t>Outside Operating Ongoing Expenses ($)</t>
  </si>
  <si>
    <t>Fees And Exp ($)</t>
  </si>
  <si>
    <t>Capital Called outside Commitment ($)</t>
  </si>
  <si>
    <t>Capital Called Inside Commitment ($)</t>
  </si>
  <si>
    <t>Series ID</t>
  </si>
  <si>
    <t>Geography Level 2</t>
  </si>
  <si>
    <t>Geography Level 1</t>
  </si>
  <si>
    <t>Strategy Level 2</t>
  </si>
  <si>
    <t>Non Recallable Distributions($)</t>
  </si>
  <si>
    <t>Recallable Distributions($)</t>
  </si>
  <si>
    <t>Net Capital Distributed($)</t>
  </si>
  <si>
    <t>Net Capital Called($)</t>
  </si>
  <si>
    <t>Strategy Level 1</t>
  </si>
  <si>
    <t>Adjusted Market Value ($)</t>
  </si>
  <si>
    <t>Recent Activity - Distributed($)</t>
  </si>
  <si>
    <t>Recent Activity - Called($)</t>
  </si>
  <si>
    <t>DPI</t>
  </si>
  <si>
    <t>Called (%)</t>
  </si>
  <si>
    <t>Capital Distributed ($)</t>
  </si>
  <si>
    <t>Capital Called ($)</t>
  </si>
  <si>
    <t>Unfunded ($)</t>
  </si>
  <si>
    <t>Commitment ($)</t>
  </si>
  <si>
    <t>Investment Period</t>
  </si>
  <si>
    <t>Fund Term End</t>
  </si>
  <si>
    <t>Vintage Year</t>
  </si>
  <si>
    <t>Investment Name</t>
  </si>
  <si>
    <t>Alerts</t>
  </si>
  <si>
    <t>AccountID</t>
  </si>
  <si>
    <t>PME</t>
  </si>
  <si>
    <t>As of Last Available Quarter End</t>
  </si>
  <si>
    <t>As of Most Recent Date Selected</t>
  </si>
  <si>
    <t>Apax XI</t>
  </si>
  <si>
    <t>Private Investments Est. Net Asset Value</t>
  </si>
  <si>
    <t>Private Investments Target</t>
  </si>
  <si>
    <t>Compounding Rate</t>
  </si>
  <si>
    <t>NEW DRAWDOWN PORTFOLIO</t>
  </si>
  <si>
    <t>NEW COMPOUNDING OPEN-ENDED PORTFOLIO</t>
  </si>
  <si>
    <t>NEW YIELDING OPEN-ENDED PORTFOLIO</t>
  </si>
  <si>
    <t>New Drawdown Target Portfolio</t>
  </si>
  <si>
    <t>TO FILL IN WITH CONNECT OUTPUT</t>
  </si>
  <si>
    <t>Compounding Open-ended PE 
Commitments</t>
  </si>
  <si>
    <t>Yielding Open-ended PE 
Commitments</t>
  </si>
  <si>
    <t>Yield Rate</t>
  </si>
  <si>
    <t>Total New + Open-ended PE</t>
  </si>
  <si>
    <t>Total Existing + New + Open-ended PE</t>
  </si>
  <si>
    <t>Returm</t>
  </si>
  <si>
    <t>Compound Return</t>
  </si>
  <si>
    <t>US Cash</t>
  </si>
  <si>
    <t>US Agg Bonds</t>
  </si>
  <si>
    <t>AC World Equity</t>
  </si>
  <si>
    <t>Private Equity</t>
  </si>
  <si>
    <t>Not sure how they are getting to 6.4%</t>
  </si>
  <si>
    <t>Cumulative Distributions</t>
  </si>
  <si>
    <t>Cumulative called</t>
  </si>
  <si>
    <t>Drawdown only</t>
  </si>
  <si>
    <t>Evergreen only</t>
  </si>
  <si>
    <t>Drawdown with re-investment</t>
  </si>
  <si>
    <t>Cash invested</t>
  </si>
  <si>
    <t>Drawdown and Evergreen</t>
  </si>
  <si>
    <t>NAV Build-up</t>
  </si>
  <si>
    <t>Evergreen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</si>
</sst>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0.0%"/>
    <numFmt numFmtId="168" formatCode="0.0"/>
    <numFmt numFmtId="169" formatCode="&quot;$&quot;#,##0"/>
    <numFmt numFmtId="170" formatCode="_(&quot;$&quot;* #,##0.000_);_(&quot;$&quot;* \(#,##0.000\);_(&quot;$&quot;* &quot;-&quot;??_);_(@_)"/>
    <numFmt numFmtId="171" formatCode="_(* #,##0.0_);_(* \(#,##0.0\);_(* &quot;-&quot;??_);_(@_)"/>
    <numFmt numFmtId="172" formatCode="_(* #,##0_);_(* \(#,##0\);_(* &quot;-&quot;??_);_(@_)"/>
    <numFmt numFmtId="173" formatCode="\$#,##0.00"/>
    <numFmt numFmtId="174" formatCode="_-[$$-409]* #,##0_ ;_-[$$-409]* \-#,##0\ ;_-[$$-409]* &quot;-&quot;??_ ;_-@_ "/>
  </numFmts>
  <fonts count="46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rgb="FF0000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FF"/>
      <name val="Calibri"/>
      <family val="2"/>
      <scheme val="minor"/>
    </font>
    <font>
      <sz val="8"/>
      <color rgb="FFFF0000"/>
      <name val="Arial"/>
      <family val="2"/>
    </font>
    <font>
      <b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Frutiger LT 55 Roman"/>
      <family val="2"/>
    </font>
    <font>
      <sz val="11"/>
      <color indexed="8"/>
      <name val="Calibri"/>
      <family val="2"/>
      <scheme val="minor"/>
    </font>
    <font>
      <b/>
      <sz val="8"/>
      <color theme="0"/>
      <name val="Arial"/>
      <family val="2"/>
    </font>
    <font>
      <sz val="8"/>
      <color theme="0"/>
      <name val="Frutiger LT 55 Roman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 tint="-0.14999847407452621"/>
      <name val="Arial"/>
      <family val="2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DEFA"/>
        <bgColor indexed="64"/>
      </patternFill>
    </fill>
    <fill>
      <patternFill patternType="solid">
        <fgColor rgb="FFD5EBFD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  <xf numFmtId="165" fontId="1" fillId="0" borderId="0" applyFont="0" applyFill="0" applyBorder="0" applyAlignment="0" applyProtection="0"/>
    <xf numFmtId="0" fontId="33" fillId="0" borderId="0"/>
    <xf numFmtId="0" fontId="39" fillId="0" borderId="0"/>
    <xf numFmtId="164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44" fillId="0" borderId="0"/>
    <xf numFmtId="9" fontId="44" fillId="0" borderId="0" applyFont="0" applyFill="0" applyBorder="0" applyAlignment="0" applyProtection="0"/>
  </cellStyleXfs>
  <cellXfs count="146">
    <xf numFmtId="0" fontId="0" fillId="0" borderId="0" xfId="0"/>
    <xf numFmtId="166" fontId="18" fillId="0" borderId="0" xfId="1" applyNumberFormat="1" applyFont="1"/>
    <xf numFmtId="0" fontId="18" fillId="0" borderId="0" xfId="0" applyFont="1" applyAlignment="1">
      <alignment horizontal="center"/>
    </xf>
    <xf numFmtId="0" fontId="18" fillId="0" borderId="0" xfId="0" applyFont="1"/>
    <xf numFmtId="0" fontId="16" fillId="0" borderId="0" xfId="0" applyFont="1"/>
    <xf numFmtId="0" fontId="20" fillId="34" borderId="0" xfId="0" applyFont="1" applyFill="1" applyAlignment="1">
      <alignment horizontal="centerContinuous"/>
    </xf>
    <xf numFmtId="0" fontId="0" fillId="0" borderId="0" xfId="0"/>
    <xf numFmtId="166" fontId="18" fillId="35" borderId="0" xfId="1" applyNumberFormat="1" applyFont="1" applyFill="1"/>
    <xf numFmtId="10" fontId="18" fillId="0" borderId="0" xfId="0" applyNumberFormat="1" applyFont="1"/>
    <xf numFmtId="0" fontId="23" fillId="33" borderId="0" xfId="44" applyFont="1" applyFill="1"/>
    <xf numFmtId="0" fontId="22" fillId="33" borderId="0" xfId="44" applyFill="1"/>
    <xf numFmtId="0" fontId="23" fillId="0" borderId="10" xfId="44" applyFont="1" applyBorder="1" applyAlignment="1">
      <alignment horizontal="center" vertical="top"/>
    </xf>
    <xf numFmtId="9" fontId="22" fillId="0" borderId="0" xfId="2" applyFont="1" applyAlignment="1">
      <alignment horizontal="center"/>
    </xf>
    <xf numFmtId="9" fontId="0" fillId="0" borderId="0" xfId="2" applyFont="1" applyAlignment="1">
      <alignment horizontal="center"/>
    </xf>
    <xf numFmtId="166" fontId="24" fillId="0" borderId="0" xfId="1" applyNumberFormat="1" applyFont="1"/>
    <xf numFmtId="0" fontId="21" fillId="36" borderId="0" xfId="0" applyFont="1" applyFill="1" applyAlignment="1">
      <alignment horizontal="center"/>
    </xf>
    <xf numFmtId="0" fontId="21" fillId="36" borderId="0" xfId="0" applyFont="1" applyFill="1"/>
    <xf numFmtId="166" fontId="18" fillId="36" borderId="0" xfId="1" applyNumberFormat="1" applyFont="1" applyFill="1"/>
    <xf numFmtId="0" fontId="18" fillId="36" borderId="0" xfId="0" applyFont="1" applyFill="1" applyAlignment="1">
      <alignment horizontal="center"/>
    </xf>
    <xf numFmtId="0" fontId="18" fillId="36" borderId="0" xfId="0" applyFont="1" applyFill="1"/>
    <xf numFmtId="166" fontId="21" fillId="36" borderId="0" xfId="1" applyNumberFormat="1" applyFont="1" applyFill="1"/>
    <xf numFmtId="0" fontId="21" fillId="36" borderId="0" xfId="0" applyFont="1" applyFill="1" applyAlignment="1">
      <alignment horizontal="right"/>
    </xf>
    <xf numFmtId="164" fontId="18" fillId="36" borderId="0" xfId="1" applyNumberFormat="1" applyFont="1" applyFill="1"/>
    <xf numFmtId="166" fontId="25" fillId="36" borderId="0" xfId="1" applyNumberFormat="1" applyFont="1" applyFill="1"/>
    <xf numFmtId="166" fontId="19" fillId="36" borderId="0" xfId="1" applyNumberFormat="1" applyFont="1" applyFill="1"/>
    <xf numFmtId="10" fontId="25" fillId="35" borderId="0" xfId="0" applyNumberFormat="1" applyFont="1" applyFill="1"/>
    <xf numFmtId="166" fontId="18" fillId="0" borderId="0" xfId="1" applyNumberFormat="1" applyFont="1" applyFill="1"/>
    <xf numFmtId="0" fontId="28" fillId="33" borderId="0" xfId="44" applyFont="1" applyFill="1"/>
    <xf numFmtId="9" fontId="28" fillId="0" borderId="0" xfId="2" applyFont="1" applyAlignment="1">
      <alignment horizontal="center"/>
    </xf>
    <xf numFmtId="9" fontId="25" fillId="0" borderId="0" xfId="2" applyFont="1"/>
    <xf numFmtId="0" fontId="25" fillId="0" borderId="0" xfId="0" applyFont="1" applyAlignment="1">
      <alignment horizontal="center"/>
    </xf>
    <xf numFmtId="166" fontId="19" fillId="0" borderId="0" xfId="1" applyNumberFormat="1" applyFont="1"/>
    <xf numFmtId="0" fontId="29" fillId="36" borderId="0" xfId="0" applyFont="1" applyFill="1"/>
    <xf numFmtId="0" fontId="30" fillId="36" borderId="0" xfId="0" applyFont="1" applyFill="1" applyAlignment="1">
      <alignment horizontal="center"/>
    </xf>
    <xf numFmtId="167" fontId="19" fillId="36" borderId="0" xfId="2" applyNumberFormat="1" applyFont="1" applyFill="1" applyAlignment="1">
      <alignment horizontal="center"/>
    </xf>
    <xf numFmtId="166" fontId="18" fillId="0" borderId="0" xfId="1" applyNumberFormat="1" applyFont="1" applyAlignment="1">
      <alignment horizontal="center" vertical="center"/>
    </xf>
    <xf numFmtId="0" fontId="18" fillId="36" borderId="0" xfId="0" applyFont="1" applyFill="1" applyAlignment="1">
      <alignment horizontal="center" vertical="center" wrapText="1"/>
    </xf>
    <xf numFmtId="0" fontId="19" fillId="36" borderId="0" xfId="0" applyFont="1" applyFill="1" applyAlignment="1">
      <alignment horizontal="center"/>
    </xf>
    <xf numFmtId="0" fontId="0" fillId="0" borderId="0" xfId="0"/>
    <xf numFmtId="0" fontId="20" fillId="34" borderId="0" xfId="0" applyFont="1" applyFill="1" applyAlignment="1">
      <alignment horizontal="left"/>
    </xf>
    <xf numFmtId="0" fontId="18" fillId="36" borderId="0" xfId="0" applyFont="1" applyFill="1" applyAlignment="1">
      <alignment vertical="center" wrapText="1"/>
    </xf>
    <xf numFmtId="9" fontId="18" fillId="0" borderId="0" xfId="2" applyFont="1"/>
    <xf numFmtId="0" fontId="21" fillId="36" borderId="0" xfId="0" applyFont="1" applyFill="1" applyAlignment="1">
      <alignment horizontal="center" vertical="center"/>
    </xf>
    <xf numFmtId="0" fontId="21" fillId="36" borderId="0" xfId="0" applyFont="1" applyFill="1" applyAlignment="1">
      <alignment vertical="center"/>
    </xf>
    <xf numFmtId="0" fontId="21" fillId="36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/>
    </xf>
    <xf numFmtId="167" fontId="18" fillId="36" borderId="0" xfId="2" applyNumberFormat="1" applyFont="1" applyFill="1" applyAlignment="1">
      <alignment horizontal="center"/>
    </xf>
    <xf numFmtId="9" fontId="24" fillId="0" borderId="0" xfId="2" applyFont="1"/>
    <xf numFmtId="0" fontId="31" fillId="36" borderId="0" xfId="0" applyFont="1" applyFill="1" applyAlignment="1">
      <alignment horizontal="center" vertical="center"/>
    </xf>
    <xf numFmtId="0" fontId="25" fillId="36" borderId="0" xfId="0" applyFont="1" applyFill="1" applyAlignment="1">
      <alignment horizontal="center"/>
    </xf>
    <xf numFmtId="166" fontId="18" fillId="0" borderId="0" xfId="2" applyNumberFormat="1" applyFont="1"/>
    <xf numFmtId="170" fontId="18" fillId="0" borderId="0" xfId="1" applyNumberFormat="1" applyFont="1"/>
    <xf numFmtId="171" fontId="0" fillId="0" borderId="0" xfId="45" applyNumberFormat="1" applyFont="1"/>
    <xf numFmtId="10" fontId="18" fillId="0" borderId="0" xfId="2" applyNumberFormat="1" applyFont="1"/>
    <xf numFmtId="10" fontId="25" fillId="0" borderId="0" xfId="2" applyNumberFormat="1" applyFont="1" applyAlignment="1">
      <alignment horizontal="center"/>
    </xf>
    <xf numFmtId="10" fontId="18" fillId="0" borderId="0" xfId="2" applyNumberFormat="1" applyFont="1" applyAlignment="1">
      <alignment horizontal="center"/>
    </xf>
    <xf numFmtId="169" fontId="32" fillId="36" borderId="0" xfId="1" applyNumberFormat="1" applyFont="1" applyFill="1" applyAlignment="1">
      <alignment horizontal="center" vertical="center"/>
    </xf>
    <xf numFmtId="166" fontId="29" fillId="36" borderId="0" xfId="1" applyNumberFormat="1" applyFont="1" applyFill="1"/>
    <xf numFmtId="9" fontId="0" fillId="0" borderId="0" xfId="0" applyNumberFormat="1"/>
    <xf numFmtId="0" fontId="33" fillId="0" borderId="0" xfId="46"/>
    <xf numFmtId="0" fontId="21" fillId="0" borderId="0" xfId="0" applyFont="1" applyFill="1" applyAlignment="1">
      <alignment horizontal="right"/>
    </xf>
    <xf numFmtId="0" fontId="18" fillId="0" borderId="0" xfId="0" applyFont="1" applyFill="1"/>
    <xf numFmtId="166" fontId="21" fillId="0" borderId="0" xfId="1" applyNumberFormat="1" applyFont="1" applyFill="1"/>
    <xf numFmtId="166" fontId="30" fillId="36" borderId="0" xfId="1" applyNumberFormat="1" applyFont="1" applyFill="1"/>
    <xf numFmtId="166" fontId="31" fillId="36" borderId="0" xfId="1" applyNumberFormat="1" applyFont="1" applyFill="1"/>
    <xf numFmtId="166" fontId="20" fillId="38" borderId="0" xfId="1" applyNumberFormat="1" applyFont="1" applyFill="1"/>
    <xf numFmtId="169" fontId="35" fillId="38" borderId="0" xfId="1" applyNumberFormat="1" applyFont="1" applyFill="1" applyAlignment="1">
      <alignment horizontal="center" vertical="center"/>
    </xf>
    <xf numFmtId="1" fontId="35" fillId="38" borderId="0" xfId="1" applyNumberFormat="1" applyFont="1" applyFill="1" applyAlignment="1">
      <alignment horizontal="center" vertical="center"/>
    </xf>
    <xf numFmtId="168" fontId="35" fillId="38" borderId="0" xfId="1" applyNumberFormat="1" applyFont="1" applyFill="1" applyAlignment="1">
      <alignment horizontal="center" vertical="center"/>
    </xf>
    <xf numFmtId="166" fontId="21" fillId="36" borderId="11" xfId="1" applyNumberFormat="1" applyFont="1" applyFill="1" applyBorder="1"/>
    <xf numFmtId="166" fontId="21" fillId="36" borderId="12" xfId="1" applyNumberFormat="1" applyFont="1" applyFill="1" applyBorder="1"/>
    <xf numFmtId="166" fontId="18" fillId="36" borderId="12" xfId="1" applyNumberFormat="1" applyFont="1" applyFill="1" applyBorder="1"/>
    <xf numFmtId="0" fontId="18" fillId="36" borderId="13" xfId="0" applyFont="1" applyFill="1" applyBorder="1"/>
    <xf numFmtId="166" fontId="18" fillId="36" borderId="14" xfId="1" applyNumberFormat="1" applyFont="1" applyFill="1" applyBorder="1"/>
    <xf numFmtId="0" fontId="21" fillId="36" borderId="0" xfId="0" applyFont="1" applyFill="1" applyBorder="1" applyAlignment="1">
      <alignment horizontal="center"/>
    </xf>
    <xf numFmtId="0" fontId="21" fillId="36" borderId="15" xfId="0" applyFont="1" applyFill="1" applyBorder="1" applyAlignment="1">
      <alignment horizontal="center"/>
    </xf>
    <xf numFmtId="0" fontId="20" fillId="34" borderId="14" xfId="0" applyFont="1" applyFill="1" applyBorder="1" applyAlignment="1">
      <alignment horizontal="left"/>
    </xf>
    <xf numFmtId="166" fontId="18" fillId="36" borderId="0" xfId="1" applyNumberFormat="1" applyFont="1" applyFill="1" applyBorder="1"/>
    <xf numFmtId="166" fontId="18" fillId="36" borderId="15" xfId="1" applyNumberFormat="1" applyFont="1" applyFill="1" applyBorder="1"/>
    <xf numFmtId="0" fontId="20" fillId="34" borderId="16" xfId="0" applyFont="1" applyFill="1" applyBorder="1" applyAlignment="1">
      <alignment horizontal="left"/>
    </xf>
    <xf numFmtId="166" fontId="18" fillId="36" borderId="17" xfId="1" applyNumberFormat="1" applyFont="1" applyFill="1" applyBorder="1"/>
    <xf numFmtId="166" fontId="18" fillId="36" borderId="18" xfId="1" applyNumberFormat="1" applyFont="1" applyFill="1" applyBorder="1"/>
    <xf numFmtId="9" fontId="0" fillId="0" borderId="0" xfId="2" applyFont="1"/>
    <xf numFmtId="9" fontId="18" fillId="36" borderId="0" xfId="2" applyFont="1" applyFill="1"/>
    <xf numFmtId="0" fontId="22" fillId="0" borderId="0" xfId="44"/>
    <xf numFmtId="0" fontId="23" fillId="0" borderId="10" xfId="44" applyFont="1" applyBorder="1" applyAlignment="1">
      <alignment horizontal="center" vertical="top"/>
    </xf>
    <xf numFmtId="9" fontId="36" fillId="0" borderId="0" xfId="2" applyFont="1" applyAlignment="1">
      <alignment horizontal="center"/>
    </xf>
    <xf numFmtId="0" fontId="37" fillId="37" borderId="0" xfId="44" applyFont="1" applyFill="1" applyAlignment="1">
      <alignment horizontal="centerContinuous"/>
    </xf>
    <xf numFmtId="0" fontId="22" fillId="39" borderId="0" xfId="44" applyFill="1"/>
    <xf numFmtId="165" fontId="22" fillId="39" borderId="0" xfId="45" applyNumberFormat="1" applyFont="1" applyFill="1"/>
    <xf numFmtId="0" fontId="38" fillId="0" borderId="0" xfId="0" applyFont="1"/>
    <xf numFmtId="0" fontId="38" fillId="0" borderId="0" xfId="0" applyFont="1" applyAlignment="1">
      <alignment horizontal="center" vertical="center"/>
    </xf>
    <xf numFmtId="171" fontId="38" fillId="0" borderId="0" xfId="45" applyNumberFormat="1" applyFont="1"/>
    <xf numFmtId="0" fontId="23" fillId="0" borderId="19" xfId="44" applyFont="1" applyFill="1" applyBorder="1" applyAlignment="1">
      <alignment horizontal="center" vertical="top"/>
    </xf>
    <xf numFmtId="2" fontId="0" fillId="40" borderId="0" xfId="0" applyNumberFormat="1" applyFill="1"/>
    <xf numFmtId="9" fontId="28" fillId="40" borderId="0" xfId="2" applyFont="1" applyFill="1" applyAlignment="1">
      <alignment horizontal="center"/>
    </xf>
    <xf numFmtId="0" fontId="39" fillId="0" borderId="0" xfId="47"/>
    <xf numFmtId="173" fontId="39" fillId="0" borderId="0" xfId="47" applyNumberFormat="1"/>
    <xf numFmtId="0" fontId="40" fillId="0" borderId="0" xfId="47" applyFont="1"/>
    <xf numFmtId="0" fontId="41" fillId="41" borderId="0" xfId="47" applyFont="1" applyFill="1"/>
    <xf numFmtId="172" fontId="41" fillId="41" borderId="0" xfId="47" applyNumberFormat="1" applyFont="1" applyFill="1"/>
    <xf numFmtId="166" fontId="41" fillId="41" borderId="0" xfId="47" applyNumberFormat="1" applyFont="1" applyFill="1"/>
    <xf numFmtId="0" fontId="41" fillId="0" borderId="0" xfId="47" applyFont="1"/>
    <xf numFmtId="166" fontId="40" fillId="0" borderId="0" xfId="47" applyNumberFormat="1" applyFont="1"/>
    <xf numFmtId="166" fontId="40" fillId="0" borderId="0" xfId="1" applyNumberFormat="1" applyFont="1"/>
    <xf numFmtId="0" fontId="42" fillId="0" borderId="0" xfId="47" applyFont="1"/>
    <xf numFmtId="166" fontId="42" fillId="0" borderId="0" xfId="1" applyNumberFormat="1" applyFont="1"/>
    <xf numFmtId="166" fontId="18" fillId="0" borderId="0" xfId="48" applyNumberFormat="1" applyFont="1"/>
    <xf numFmtId="172" fontId="18" fillId="0" borderId="0" xfId="49" applyNumberFormat="1" applyFont="1"/>
    <xf numFmtId="172" fontId="29" fillId="0" borderId="0" xfId="49" applyNumberFormat="1" applyFont="1"/>
    <xf numFmtId="166" fontId="29" fillId="0" borderId="0" xfId="48" applyNumberFormat="1" applyFont="1"/>
    <xf numFmtId="0" fontId="43" fillId="0" borderId="0" xfId="47" applyFont="1" applyAlignment="1">
      <alignment horizontal="center"/>
    </xf>
    <xf numFmtId="165" fontId="18" fillId="0" borderId="0" xfId="49" applyNumberFormat="1" applyFont="1"/>
    <xf numFmtId="166" fontId="18" fillId="36" borderId="0" xfId="0" applyNumberFormat="1" applyFont="1" applyFill="1"/>
    <xf numFmtId="0" fontId="18" fillId="42" borderId="0" xfId="0" applyFont="1" applyFill="1"/>
    <xf numFmtId="166" fontId="18" fillId="43" borderId="0" xfId="1" applyNumberFormat="1" applyFont="1" applyFill="1" applyAlignment="1">
      <alignment wrapText="1"/>
    </xf>
    <xf numFmtId="166" fontId="29" fillId="43" borderId="0" xfId="1" applyNumberFormat="1" applyFont="1" applyFill="1" applyAlignment="1">
      <alignment wrapText="1"/>
    </xf>
    <xf numFmtId="166" fontId="25" fillId="43" borderId="0" xfId="1" applyNumberFormat="1" applyFont="1" applyFill="1"/>
    <xf numFmtId="9" fontId="25" fillId="43" borderId="0" xfId="2" applyFont="1" applyFill="1"/>
    <xf numFmtId="166" fontId="18" fillId="43" borderId="0" xfId="1" applyNumberFormat="1" applyFont="1" applyFill="1"/>
    <xf numFmtId="9" fontId="18" fillId="43" borderId="0" xfId="2" applyFont="1" applyFill="1"/>
    <xf numFmtId="0" fontId="21" fillId="42" borderId="0" xfId="0" applyFont="1" applyFill="1"/>
    <xf numFmtId="166" fontId="18" fillId="44" borderId="0" xfId="1" applyNumberFormat="1" applyFont="1" applyFill="1" applyAlignment="1">
      <alignment horizontal="center" vertical="center" wrapText="1"/>
    </xf>
    <xf numFmtId="166" fontId="18" fillId="44" borderId="0" xfId="1" applyNumberFormat="1" applyFont="1" applyFill="1" applyAlignment="1">
      <alignment horizontal="center" vertical="center"/>
    </xf>
    <xf numFmtId="174" fontId="18" fillId="44" borderId="0" xfId="1" applyNumberFormat="1" applyFont="1" applyFill="1"/>
    <xf numFmtId="9" fontId="18" fillId="44" borderId="0" xfId="2" applyFont="1" applyFill="1"/>
    <xf numFmtId="166" fontId="18" fillId="44" borderId="0" xfId="1" applyNumberFormat="1" applyFont="1" applyFill="1"/>
    <xf numFmtId="166" fontId="18" fillId="45" borderId="0" xfId="1" applyNumberFormat="1" applyFont="1" applyFill="1" applyAlignment="1">
      <alignment horizontal="center" vertical="center" wrapText="1"/>
    </xf>
    <xf numFmtId="166" fontId="18" fillId="45" borderId="0" xfId="1" applyNumberFormat="1" applyFont="1" applyFill="1" applyAlignment="1">
      <alignment horizontal="center" vertical="center"/>
    </xf>
    <xf numFmtId="174" fontId="18" fillId="45" borderId="0" xfId="1" applyNumberFormat="1" applyFont="1" applyFill="1"/>
    <xf numFmtId="9" fontId="18" fillId="45" borderId="0" xfId="2" applyFont="1" applyFill="1"/>
    <xf numFmtId="166" fontId="18" fillId="45" borderId="0" xfId="1" applyNumberFormat="1" applyFont="1" applyFill="1"/>
    <xf numFmtId="0" fontId="34" fillId="46" borderId="0" xfId="0" applyFont="1" applyFill="1"/>
    <xf numFmtId="0" fontId="30" fillId="45" borderId="0" xfId="0" applyFont="1" applyFill="1"/>
    <xf numFmtId="0" fontId="30" fillId="44" borderId="0" xfId="0" applyFont="1" applyFill="1"/>
    <xf numFmtId="0" fontId="30" fillId="43" borderId="0" xfId="0" applyFont="1" applyFill="1"/>
    <xf numFmtId="165" fontId="18" fillId="36" borderId="0" xfId="45" applyFont="1" applyFill="1"/>
    <xf numFmtId="0" fontId="44" fillId="0" borderId="0" xfId="50"/>
    <xf numFmtId="0" fontId="45" fillId="0" borderId="0" xfId="50" applyFont="1"/>
    <xf numFmtId="10" fontId="44" fillId="0" borderId="0" xfId="50" applyNumberFormat="1"/>
    <xf numFmtId="10" fontId="0" fillId="0" borderId="0" xfId="51" applyNumberFormat="1" applyFont="1"/>
    <xf numFmtId="167" fontId="0" fillId="0" borderId="0" xfId="51" applyNumberFormat="1" applyFont="1"/>
    <xf numFmtId="165" fontId="0" fillId="0" borderId="0" xfId="45" applyFont="1"/>
    <xf numFmtId="0" fontId="23" fillId="0" borderId="10" xfId="44" applyFont="1" applyBorder="1" applyAlignment="1">
      <alignment horizontal="center" vertical="top"/>
    </xf>
    <xf numFmtId="0" fontId="39" fillId="0" borderId="0" xfId="47"/>
    <xf numFmtId="10" fontId="44" fillId="0" borderId="0" xfId="2" applyNumberFormat="1" applyFont="1"/>
  </cellXfs>
  <cellStyles count="52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45" builtinId="3"/>
    <cellStyle name="Comma 2" xfId="49" xr:uid="{EE3F0168-387E-497F-A8C6-E197DBEC2458}"/>
    <cellStyle name="Currency" xfId="1" builtinId="4"/>
    <cellStyle name="Currency 2" xfId="48" xr:uid="{E88B2AED-2144-40F1-8426-C0A8C2A9CF61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4" xr:uid="{00000000-0005-0000-0000-000027000000}"/>
    <cellStyle name="Normal 3" xfId="46" xr:uid="{00000000-0005-0000-0000-000028000000}"/>
    <cellStyle name="Normal 4" xfId="47" xr:uid="{61F3C7EC-50DB-4F91-BA45-D2ED018C1222}"/>
    <cellStyle name="Normal 5" xfId="50" xr:uid="{C2A8F3F8-B2A8-4348-A5AC-CD2DEEF1D24E}"/>
    <cellStyle name="Note" xfId="17" builtinId="10" customBuiltin="1"/>
    <cellStyle name="Output" xfId="12" builtinId="21" customBuiltin="1"/>
    <cellStyle name="Percent" xfId="2" builtinId="5"/>
    <cellStyle name="Percent 2" xfId="51" xr:uid="{0BDD0C77-6EEF-4DEB-9CB0-3147F648E96B}"/>
    <cellStyle name="Title" xfId="3" builtinId="15" customBuiltin="1"/>
    <cellStyle name="Total" xfId="19" builtinId="25" customBuiltin="1"/>
    <cellStyle name="Warning Text" xfId="16" builtinId="11" customBuiltin="1"/>
  </cellStyles>
  <dxfs count="4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8DEFA"/>
      <color rgb="FFD5EBFD"/>
      <color rgb="FF0000FF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</a:t>
            </a:r>
            <a:r>
              <a:rPr lang="en-US" baseline="0"/>
              <a:t> Creation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79761511087667E-2"/>
          <c:y val="0.1582139148494289"/>
          <c:w val="0.91844882249808135"/>
          <c:h val="0.65456537558973349"/>
        </c:manualLayout>
      </c:layout>
      <c:lineChart>
        <c:grouping val="standard"/>
        <c:varyColors val="0"/>
        <c:ser>
          <c:idx val="1"/>
          <c:order val="1"/>
          <c:tx>
            <c:strRef>
              <c:f>Analysis!$B$4</c:f>
              <c:strCache>
                <c:ptCount val="1"/>
                <c:pt idx="0">
                  <c:v>Evergreen only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0F9F-40CD-9F2C-35DD4190E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F9F-40CD-9F2C-35DD4190E7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0F9F-40CD-9F2C-35DD4190E7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F9F-40CD-9F2C-35DD4190E77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F9F-40CD-9F2C-35DD4190E7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F9F-40CD-9F2C-35DD4190E77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F9F-40CD-9F2C-35DD4190E77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F9F-40CD-9F2C-35DD4190E77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F9F-40CD-9F2C-35DD4190E77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F9F-40CD-9F2C-35DD4190E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F9F-40CD-9F2C-35DD4190E77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F9F-40CD-9F2C-35DD4190E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F9F-40CD-9F2C-35DD4190E77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F9F-40CD-9F2C-35DD4190E773}"/>
                </c:ext>
              </c:extLst>
            </c:dLbl>
            <c:dLbl>
              <c:idx val="14"/>
              <c:layout>
                <c:manualLayout>
                  <c:x val="-2.0471484636581806E-2"/>
                  <c:y val="3.53374052542497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F9F-40CD-9F2C-35DD4190E7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Analysis!$C$2:$Q$2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Analysis!$C$4:$Q$4</c:f>
              <c:numCache>
                <c:formatCode>_(* #,##0.00_);_(* \(#,##0.00\);_(* "-"??_);_(@_)</c:formatCode>
                <c:ptCount val="15"/>
                <c:pt idx="0">
                  <c:v>10.939000000000002</c:v>
                </c:pt>
                <c:pt idx="1">
                  <c:v>11.966172100000003</c:v>
                </c:pt>
                <c:pt idx="2">
                  <c:v>13.089795660190005</c:v>
                </c:pt>
                <c:pt idx="3">
                  <c:v>14.318927472681848</c:v>
                </c:pt>
                <c:pt idx="4">
                  <c:v>15.663474762366675</c:v>
                </c:pt>
                <c:pt idx="5">
                  <c:v>17.134275042552908</c:v>
                </c:pt>
                <c:pt idx="6">
                  <c:v>18.743183469048628</c:v>
                </c:pt>
                <c:pt idx="7">
                  <c:v>20.503168396792297</c:v>
                </c:pt>
                <c:pt idx="8">
                  <c:v>22.428415909251093</c:v>
                </c:pt>
                <c:pt idx="9">
                  <c:v>24.534444163129773</c:v>
                </c:pt>
                <c:pt idx="10">
                  <c:v>26.83822847004766</c:v>
                </c:pt>
                <c:pt idx="11">
                  <c:v>29.358338123385138</c:v>
                </c:pt>
                <c:pt idx="12">
                  <c:v>32.115086073171007</c:v>
                </c:pt>
                <c:pt idx="13">
                  <c:v>35.13069265544177</c:v>
                </c:pt>
                <c:pt idx="14">
                  <c:v>38.42946469578775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F-40CD-9F2C-35DD4190E773}"/>
            </c:ext>
          </c:extLst>
        </c:ser>
        <c:ser>
          <c:idx val="2"/>
          <c:order val="2"/>
          <c:tx>
            <c:strRef>
              <c:f>Analysis!$B$5</c:f>
              <c:strCache>
                <c:ptCount val="1"/>
                <c:pt idx="0">
                  <c:v>Drawdown with re-investment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F9F-40CD-9F2C-35DD4190E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F9F-40CD-9F2C-35DD4190E7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F9F-40CD-9F2C-35DD4190E7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F9F-40CD-9F2C-35DD4190E77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F9F-40CD-9F2C-35DD4190E7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F9F-40CD-9F2C-35DD4190E77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F9F-40CD-9F2C-35DD4190E77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F9F-40CD-9F2C-35DD4190E77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F9F-40CD-9F2C-35DD4190E77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9F-40CD-9F2C-35DD4190E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F9F-40CD-9F2C-35DD4190E77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9F-40CD-9F2C-35DD4190E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9F-40CD-9F2C-35DD4190E77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9F-40CD-9F2C-35DD4190E7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Analysis!$C$2:$Q$2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Analysis!$C$5:$Q$5</c:f>
              <c:numCache>
                <c:formatCode>_(* #,##0.00_);_(* \(#,##0.00\);_(* "-"??_);_(@_)</c:formatCode>
                <c:ptCount val="15"/>
                <c:pt idx="0">
                  <c:v>10.600656061734579</c:v>
                </c:pt>
                <c:pt idx="1">
                  <c:v>11.132371537977539</c:v>
                </c:pt>
                <c:pt idx="2">
                  <c:v>11.668652390867569</c:v>
                </c:pt>
                <c:pt idx="3">
                  <c:v>12.356558959116903</c:v>
                </c:pt>
                <c:pt idx="4">
                  <c:v>13.459100068305805</c:v>
                </c:pt>
                <c:pt idx="5">
                  <c:v>14.78780112732691</c:v>
                </c:pt>
                <c:pt idx="6">
                  <c:v>16.636855749808994</c:v>
                </c:pt>
                <c:pt idx="7">
                  <c:v>18.924891567522351</c:v>
                </c:pt>
                <c:pt idx="8">
                  <c:v>21.502851919497125</c:v>
                </c:pt>
                <c:pt idx="9">
                  <c:v>24.365162484958201</c:v>
                </c:pt>
                <c:pt idx="10">
                  <c:v>27.55203958693043</c:v>
                </c:pt>
                <c:pt idx="11">
                  <c:v>30.944749435239409</c:v>
                </c:pt>
                <c:pt idx="12">
                  <c:v>34.569892283617229</c:v>
                </c:pt>
                <c:pt idx="13">
                  <c:v>38.441810391308465</c:v>
                </c:pt>
                <c:pt idx="14">
                  <c:v>42.613909284381542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9F-40CD-9F2C-35DD4190E773}"/>
            </c:ext>
          </c:extLst>
        </c:ser>
        <c:ser>
          <c:idx val="3"/>
          <c:order val="3"/>
          <c:tx>
            <c:strRef>
              <c:f>Analysis!$B$6</c:f>
              <c:strCache>
                <c:ptCount val="1"/>
                <c:pt idx="0">
                  <c:v>Drawdown and Evergreen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F9F-40CD-9F2C-35DD4190E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F9F-40CD-9F2C-35DD4190E7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F9F-40CD-9F2C-35DD4190E7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F9F-40CD-9F2C-35DD4190E77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F9F-40CD-9F2C-35DD4190E7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F9F-40CD-9F2C-35DD4190E77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F9F-40CD-9F2C-35DD4190E77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F9F-40CD-9F2C-35DD4190E77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9F-40CD-9F2C-35DD4190E77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F9F-40CD-9F2C-35DD4190E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F9F-40CD-9F2C-35DD4190E77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9F-40CD-9F2C-35DD4190E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F9F-40CD-9F2C-35DD4190E77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F9F-40CD-9F2C-35DD4190E773}"/>
                </c:ext>
              </c:extLst>
            </c:dLbl>
            <c:dLbl>
              <c:idx val="14"/>
              <c:layout>
                <c:manualLayout>
                  <c:x val="-1.885434303749883E-2"/>
                  <c:y val="-1.4506831505874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F9F-40CD-9F2C-35DD4190E7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Analysis!$C$2:$Q$2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Analysis!$C$6:$Q$6</c:f>
              <c:numCache>
                <c:formatCode>_(* #,##0.00_);_(* \(#,##0.00\);_(* "-"??_);_(@_)</c:formatCode>
                <c:ptCount val="15"/>
                <c:pt idx="0">
                  <c:v>10.76982803086729</c:v>
                </c:pt>
                <c:pt idx="1">
                  <c:v>11.549271818988773</c:v>
                </c:pt>
                <c:pt idx="2">
                  <c:v>12.379224025528787</c:v>
                </c:pt>
                <c:pt idx="3">
                  <c:v>13.337743215899375</c:v>
                </c:pt>
                <c:pt idx="4">
                  <c:v>14.56128741533624</c:v>
                </c:pt>
                <c:pt idx="5">
                  <c:v>15.961038084939908</c:v>
                </c:pt>
                <c:pt idx="6">
                  <c:v>17.690019609428813</c:v>
                </c:pt>
                <c:pt idx="7">
                  <c:v>19.714029982157324</c:v>
                </c:pt>
                <c:pt idx="8">
                  <c:v>21.965633914374109</c:v>
                </c:pt>
                <c:pt idx="9">
                  <c:v>24.449803324043984</c:v>
                </c:pt>
                <c:pt idx="10">
                  <c:v>27.195134028489047</c:v>
                </c:pt>
                <c:pt idx="11">
                  <c:v>30.15154377931227</c:v>
                </c:pt>
                <c:pt idx="12">
                  <c:v>33.342489178394118</c:v>
                </c:pt>
                <c:pt idx="13">
                  <c:v>36.786251523375114</c:v>
                </c:pt>
                <c:pt idx="14">
                  <c:v>40.521686990084646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9F-40CD-9F2C-35DD4190E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404456"/>
        <c:axId val="13624055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Analysis!$B$3</c15:sqref>
                        </c15:formulaRef>
                      </c:ext>
                    </c:extLst>
                    <c:strCache>
                      <c:ptCount val="1"/>
                      <c:pt idx="0">
                        <c:v>Drawdown only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Analysis!$C$2:$Q$2</c15:sqref>
                        </c15:formulaRef>
                      </c:ext>
                    </c:extLst>
                    <c:strCache>
                      <c:ptCount val="15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</c:v>
                      </c:pt>
                      <c:pt idx="9">
                        <c:v>Year 10</c:v>
                      </c:pt>
                      <c:pt idx="10">
                        <c:v>Year 11</c:v>
                      </c:pt>
                      <c:pt idx="11">
                        <c:v>Year 12</c:v>
                      </c:pt>
                      <c:pt idx="12">
                        <c:v>Year 13</c:v>
                      </c:pt>
                      <c:pt idx="13">
                        <c:v>Year 14</c:v>
                      </c:pt>
                      <c:pt idx="14">
                        <c:v>Year 15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Analysis!$C$3:$Q$3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"/>
                      <c:pt idx="0">
                        <c:v>0.61979884810948938</c:v>
                      </c:pt>
                      <c:pt idx="1">
                        <c:v>1.9975293894431116</c:v>
                      </c:pt>
                      <c:pt idx="2">
                        <c:v>4.2384224238362247</c:v>
                      </c:pt>
                      <c:pt idx="3">
                        <c:v>7.1673385183504514</c:v>
                      </c:pt>
                      <c:pt idx="4">
                        <c:v>10.451436421562363</c:v>
                      </c:pt>
                      <c:pt idx="5">
                        <c:v>13.593922808910905</c:v>
                      </c:pt>
                      <c:pt idx="6">
                        <c:v>16.455814929547756</c:v>
                      </c:pt>
                      <c:pt idx="7">
                        <c:v>18.881824227438855</c:v>
                      </c:pt>
                      <c:pt idx="8">
                        <c:v>20.804101026757451</c:v>
                      </c:pt>
                      <c:pt idx="9">
                        <c:v>22.368371370023524</c:v>
                      </c:pt>
                      <c:pt idx="10">
                        <c:v>23.542834167685943</c:v>
                      </c:pt>
                      <c:pt idx="11">
                        <c:v>24.444890342596661</c:v>
                      </c:pt>
                      <c:pt idx="12">
                        <c:v>25.143601961027137</c:v>
                      </c:pt>
                      <c:pt idx="13">
                        <c:v>25.746673158437595</c:v>
                      </c:pt>
                      <c:pt idx="14">
                        <c:v>26.296311836988043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F9F-40CD-9F2C-35DD4190E773}"/>
                  </c:ext>
                </c:extLst>
              </c15:ser>
            </c15:filteredLineSeries>
          </c:ext>
        </c:extLst>
      </c:lineChart>
      <c:catAx>
        <c:axId val="136240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05536"/>
        <c:crossesAt val="0"/>
        <c:auto val="1"/>
        <c:lblAlgn val="ctr"/>
        <c:lblOffset val="100"/>
        <c:noMultiLvlLbl val="0"/>
      </c:catAx>
      <c:valAx>
        <c:axId val="13624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0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'Drawdown only'!$C$203</c:f>
              <c:strCache>
                <c:ptCount val="1"/>
                <c:pt idx="0">
                  <c:v>Annual Capital Called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'Drawdown only'!$D$202:$R$202</c15:sqref>
                  </c15:fullRef>
                </c:ext>
              </c:extLst>
              <c:f>'Drawdown only'!$D$202:$M$202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'Drawdown only'!$D$203:$R$203</c15:sqref>
                  </c15:fullRef>
                </c:ext>
              </c:extLst>
              <c:f>'Drawdown only'!$D$203:$M$203</c:f>
              <c:numCache>
                <c:formatCode>_("$"* #,##0_);_("$"* \(#,##0\);_("$"* "-"??_);_(@_)</c:formatCode>
                <c:ptCount val="10"/>
                <c:pt idx="0">
                  <c:v>-0.67209606203262628</c:v>
                </c:pt>
                <c:pt idx="1">
                  <c:v>-1.4466221179072845</c:v>
                </c:pt>
                <c:pt idx="2">
                  <c:v>-2.2759607164977043</c:v>
                </c:pt>
                <c:pt idx="3">
                  <c:v>-2.9993100128503003</c:v>
                </c:pt>
                <c:pt idx="4">
                  <c:v>-3.4503275453261342</c:v>
                </c:pt>
                <c:pt idx="5">
                  <c:v>-3.6791162793530914</c:v>
                </c:pt>
                <c:pt idx="6">
                  <c:v>-3.7824556748959308</c:v>
                </c:pt>
                <c:pt idx="7">
                  <c:v>-3.8432477774708049</c:v>
                </c:pt>
                <c:pt idx="8">
                  <c:v>-3.8661918894104583</c:v>
                </c:pt>
                <c:pt idx="9">
                  <c:v>-3.8821421695134983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C-4901-B02F-174C375F5E83}"/>
            </c:ext>
          </c:extLst>
        </c:ser>
        <c:ser>
          <c:idx val="1"/>
          <c:order val="1"/>
          <c:tx>
            <c:strRef>
              <c:f>'Drawdown only'!$C$204</c:f>
              <c:strCache>
                <c:ptCount val="1"/>
                <c:pt idx="0">
                  <c:v>Annual Distributions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'Drawdown only'!$D$202:$R$202</c15:sqref>
                  </c15:fullRef>
                </c:ext>
              </c:extLst>
              <c:f>'Drawdown only'!$D$202:$M$202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'Drawdown only'!$D$204:$R$204</c15:sqref>
                  </c15:fullRef>
                </c:ext>
              </c:extLst>
              <c:f>'Drawdown only'!$D$204:$M$204</c:f>
              <c:numCache>
                <c:formatCode>_("$"* #,##0_);_("$"* \(#,##0\);_("$"* "-"??_);_(@_)</c:formatCode>
                <c:ptCount val="10"/>
                <c:pt idx="0">
                  <c:v>0</c:v>
                </c:pt>
                <c:pt idx="1">
                  <c:v>3.0005571181060814E-3</c:v>
                </c:pt>
                <c:pt idx="2">
                  <c:v>8.525872406733509E-2</c:v>
                </c:pt>
                <c:pt idx="3">
                  <c:v>0.41881877550722801</c:v>
                </c:pt>
                <c:pt idx="4">
                  <c:v>1.0720077089928066</c:v>
                </c:pt>
                <c:pt idx="5">
                  <c:v>1.7872267619704001</c:v>
                </c:pt>
                <c:pt idx="6">
                  <c:v>2.7577743847614595</c:v>
                </c:pt>
                <c:pt idx="7">
                  <c:v>3.7024568077548885</c:v>
                </c:pt>
                <c:pt idx="8">
                  <c:v>4.4761627668406776</c:v>
                </c:pt>
                <c:pt idx="9">
                  <c:v>5.0495511972735185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CC-4901-B02F-174C375F5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086808"/>
        <c:axId val="1156087200"/>
      </c:barChart>
      <c:lineChart>
        <c:grouping val="stacked"/>
        <c:varyColors val="0"/>
        <c:ser>
          <c:idx val="3"/>
          <c:order val="2"/>
          <c:tx>
            <c:strRef>
              <c:f>'Drawdown only'!$C$205</c:f>
              <c:strCache>
                <c:ptCount val="1"/>
                <c:pt idx="0">
                  <c:v>Annual Net Cash Flow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'Drawdown only'!$D$100:$R$100</c15:sqref>
                  </c15:fullRef>
                </c:ext>
              </c:extLst>
              <c:f>'Drawdown only'!$D$100:$M$100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'Drawdown only'!$D$205:$R$205</c15:sqref>
                  </c15:fullRef>
                </c:ext>
              </c:extLst>
              <c:f>'Drawdown only'!$D$205:$M$205</c:f>
              <c:numCache>
                <c:formatCode>_("$"* #,##0_);_("$"* \(#,##0\);_("$"* "-"??_);_(@_)</c:formatCode>
                <c:ptCount val="10"/>
                <c:pt idx="0">
                  <c:v>-0.67209606203262628</c:v>
                </c:pt>
                <c:pt idx="1">
                  <c:v>-1.4436215607891787</c:v>
                </c:pt>
                <c:pt idx="2">
                  <c:v>-2.1907019924303692</c:v>
                </c:pt>
                <c:pt idx="3">
                  <c:v>-2.5804912373430731</c:v>
                </c:pt>
                <c:pt idx="4">
                  <c:v>-2.3783198363333278</c:v>
                </c:pt>
                <c:pt idx="5">
                  <c:v>-1.891889517382692</c:v>
                </c:pt>
                <c:pt idx="6">
                  <c:v>-1.0246812901344711</c:v>
                </c:pt>
                <c:pt idx="7">
                  <c:v>-0.14079096971591598</c:v>
                </c:pt>
                <c:pt idx="8">
                  <c:v>0.60997087743021894</c:v>
                </c:pt>
                <c:pt idx="9">
                  <c:v>1.1674090277600211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CC-4901-B02F-174C375F5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086808"/>
        <c:axId val="1156087200"/>
      </c:lineChart>
      <c:catAx>
        <c:axId val="115608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7200"/>
        <c:crosses val="autoZero"/>
        <c:auto val="1"/>
        <c:lblAlgn val="ctr"/>
        <c:lblOffset val="100"/>
        <c:noMultiLvlLbl val="0"/>
      </c:catAx>
      <c:valAx>
        <c:axId val="115608720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'Drawdown only'!$C$208</c:f>
              <c:strCache>
                <c:ptCount val="1"/>
                <c:pt idx="0">
                  <c:v>Private Investments Est. Net Asset Value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'Drawdown only'!$D$202:$R$202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'Drawdown only'!$D$208:$R$208</c:f>
              <c:numCache>
                <c:formatCode>_("$"* #,##0_);_("$"* \(#,##0\);_("$"* "-"??_);_(@_)</c:formatCode>
                <c:ptCount val="15"/>
                <c:pt idx="0">
                  <c:v>0.61979884810948938</c:v>
                </c:pt>
                <c:pt idx="1">
                  <c:v>1.9975293894431116</c:v>
                </c:pt>
                <c:pt idx="2">
                  <c:v>4.2384224238362247</c:v>
                </c:pt>
                <c:pt idx="3">
                  <c:v>7.1673385183504514</c:v>
                </c:pt>
                <c:pt idx="4">
                  <c:v>10.451436421562363</c:v>
                </c:pt>
                <c:pt idx="5">
                  <c:v>13.593922808910905</c:v>
                </c:pt>
                <c:pt idx="6">
                  <c:v>16.455814929547756</c:v>
                </c:pt>
                <c:pt idx="7">
                  <c:v>18.881824227438855</c:v>
                </c:pt>
                <c:pt idx="8">
                  <c:v>20.804101026757451</c:v>
                </c:pt>
                <c:pt idx="9">
                  <c:v>22.368371370023524</c:v>
                </c:pt>
                <c:pt idx="10">
                  <c:v>23.542834167685943</c:v>
                </c:pt>
                <c:pt idx="11">
                  <c:v>24.444890342596661</c:v>
                </c:pt>
                <c:pt idx="12">
                  <c:v>25.143601961027137</c:v>
                </c:pt>
                <c:pt idx="13">
                  <c:v>25.746673158437595</c:v>
                </c:pt>
                <c:pt idx="14">
                  <c:v>26.296311836988043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A5-406A-B1CC-372C3A416584}"/>
            </c:ext>
          </c:extLst>
        </c:ser>
        <c:ser>
          <c:idx val="2"/>
          <c:order val="1"/>
          <c:tx>
            <c:strRef>
              <c:f>'Drawdown only'!$C$209</c:f>
              <c:strCache>
                <c:ptCount val="1"/>
                <c:pt idx="0">
                  <c:v>Est. Capital at Risk (Capital Called, net of Distributions)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'Drawdown only'!$D$202:$R$202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'Drawdown only'!$D$209:$R$209</c:f>
              <c:numCache>
                <c:formatCode>_("$"* #,##0_);_("$"* \(#,##0\);_("$"* "-"??_);_(@_)</c:formatCode>
                <c:ptCount val="15"/>
                <c:pt idx="0">
                  <c:v>0.67209606203262628</c:v>
                </c:pt>
                <c:pt idx="1">
                  <c:v>2.1157176228218049</c:v>
                </c:pt>
                <c:pt idx="2">
                  <c:v>4.3064196152521745</c:v>
                </c:pt>
                <c:pt idx="3">
                  <c:v>6.886910852595248</c:v>
                </c:pt>
                <c:pt idx="4">
                  <c:v>9.2652306889285754</c:v>
                </c:pt>
                <c:pt idx="5">
                  <c:v>11.157120206311268</c:v>
                </c:pt>
                <c:pt idx="6">
                  <c:v>12.181801496445738</c:v>
                </c:pt>
                <c:pt idx="7">
                  <c:v>12.322592466161653</c:v>
                </c:pt>
                <c:pt idx="8">
                  <c:v>11.712621588731434</c:v>
                </c:pt>
                <c:pt idx="9">
                  <c:v>10.545212560971413</c:v>
                </c:pt>
                <c:pt idx="10">
                  <c:v>8.7950827233411442</c:v>
                </c:pt>
                <c:pt idx="11">
                  <c:v>6.7296534765643736</c:v>
                </c:pt>
                <c:pt idx="12">
                  <c:v>4.4198954452911527</c:v>
                </c:pt>
                <c:pt idx="13">
                  <c:v>1.9815715315533304</c:v>
                </c:pt>
                <c:pt idx="14">
                  <c:v>-0.57338230790617439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A5-406A-B1CC-372C3A416584}"/>
            </c:ext>
          </c:extLst>
        </c:ser>
        <c:ser>
          <c:idx val="1"/>
          <c:order val="2"/>
          <c:tx>
            <c:strRef>
              <c:f>'Drawdown only'!$C$211</c:f>
              <c:strCache>
                <c:ptCount val="1"/>
                <c:pt idx="0">
                  <c:v> Private Investments Target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'Drawdown only'!$D$202:$R$202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'Drawdown only'!$D$211:$R$211</c:f>
              <c:numCache>
                <c:formatCode>_("$"* #,##0_);_("$"* \(#,##0\);_("$"* "-"??_);_(@_)</c:formatCode>
                <c:ptCount val="15"/>
                <c:pt idx="0">
                  <c:v>10</c:v>
                </c:pt>
                <c:pt idx="1">
                  <c:v>10.64</c:v>
                </c:pt>
                <c:pt idx="2">
                  <c:v>11.320959999999999</c:v>
                </c:pt>
                <c:pt idx="3">
                  <c:v>12.045501440000001</c:v>
                </c:pt>
                <c:pt idx="4">
                  <c:v>12.816413532160002</c:v>
                </c:pt>
                <c:pt idx="5">
                  <c:v>13.636663998218244</c:v>
                </c:pt>
                <c:pt idx="6">
                  <c:v>14.509410494104213</c:v>
                </c:pt>
                <c:pt idx="7">
                  <c:v>15.438012765726883</c:v>
                </c:pt>
                <c:pt idx="8">
                  <c:v>16.426045582733405</c:v>
                </c:pt>
                <c:pt idx="9">
                  <c:v>17.477312500028344</c:v>
                </c:pt>
                <c:pt idx="10">
                  <c:v>18.595860500030156</c:v>
                </c:pt>
                <c:pt idx="11">
                  <c:v>19.785995572032085</c:v>
                </c:pt>
                <c:pt idx="12">
                  <c:v>21.052299288642143</c:v>
                </c:pt>
                <c:pt idx="13">
                  <c:v>22.399646443115241</c:v>
                </c:pt>
                <c:pt idx="14">
                  <c:v>23.833223815474618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F19-4BE3-8BF7-02E04EB2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086808"/>
        <c:axId val="1156087200"/>
        <c:extLst/>
      </c:lineChart>
      <c:catAx>
        <c:axId val="115608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7200"/>
        <c:crosses val="autoZero"/>
        <c:auto val="1"/>
        <c:lblAlgn val="ctr"/>
        <c:lblOffset val="100"/>
        <c:noMultiLvlLbl val="0"/>
      </c:catAx>
      <c:valAx>
        <c:axId val="115608720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'Evergreen only'!$C$203</c:f>
              <c:strCache>
                <c:ptCount val="1"/>
                <c:pt idx="0">
                  <c:v>Annual Capital Called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'Evergreen only'!$D$202:$R$202</c15:sqref>
                  </c15:fullRef>
                </c:ext>
              </c:extLst>
              <c:f>'Evergreen only'!$D$202:$M$202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'Evergreen only'!$D$203:$R$203</c15:sqref>
                  </c15:fullRef>
                </c:ext>
              </c:extLst>
              <c:f>'Evergreen only'!$D$203:$M$203</c:f>
              <c:numCache>
                <c:formatCode>_("$"* #,##0_);_("$"* \(#,##0\);_("$"* "-"??_);_(@_)</c:formatCode>
                <c:ptCount val="10"/>
                <c:pt idx="0">
                  <c:v>-10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F-4A10-A2C5-CEC3344C252F}"/>
            </c:ext>
          </c:extLst>
        </c:ser>
        <c:ser>
          <c:idx val="1"/>
          <c:order val="1"/>
          <c:tx>
            <c:strRef>
              <c:f>'Evergreen only'!$C$204</c:f>
              <c:strCache>
                <c:ptCount val="1"/>
                <c:pt idx="0">
                  <c:v>Annual Distributions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'Evergreen only'!$D$202:$R$202</c15:sqref>
                  </c15:fullRef>
                </c:ext>
              </c:extLst>
              <c:f>'Evergreen only'!$D$202:$M$202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'Evergreen only'!$D$204:$R$204</c15:sqref>
                  </c15:fullRef>
                </c:ext>
              </c:extLst>
              <c:f>'Evergreen only'!$D$204:$M$204</c:f>
              <c:numCache>
                <c:formatCode>_("$"* #,##0_);_("$"* \(#,##0\);_("$"*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F-4A10-A2C5-CEC3344C2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086808"/>
        <c:axId val="1156087200"/>
      </c:barChart>
      <c:lineChart>
        <c:grouping val="stacked"/>
        <c:varyColors val="0"/>
        <c:ser>
          <c:idx val="3"/>
          <c:order val="2"/>
          <c:tx>
            <c:strRef>
              <c:f>'Evergreen only'!$C$205</c:f>
              <c:strCache>
                <c:ptCount val="1"/>
                <c:pt idx="0">
                  <c:v>Annual Net Cash Flow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'Evergreen only'!$D$100:$R$100</c15:sqref>
                  </c15:fullRef>
                </c:ext>
              </c:extLst>
              <c:f>'Evergreen only'!$D$100:$M$100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'Evergreen only'!$D$205:$R$205</c15:sqref>
                  </c15:fullRef>
                </c:ext>
              </c:extLst>
              <c:f>'Evergreen only'!$D$205:$M$205</c:f>
              <c:numCache>
                <c:formatCode>_("$"* #,##0_);_("$"* \(#,##0\);_("$"* "-"??_);_(@_)</c:formatCode>
                <c:ptCount val="10"/>
                <c:pt idx="0">
                  <c:v>-10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6F-4A10-A2C5-CEC3344C2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086808"/>
        <c:axId val="1156087200"/>
      </c:lineChart>
      <c:catAx>
        <c:axId val="115608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7200"/>
        <c:crosses val="autoZero"/>
        <c:auto val="1"/>
        <c:lblAlgn val="ctr"/>
        <c:lblOffset val="100"/>
        <c:noMultiLvlLbl val="0"/>
      </c:catAx>
      <c:valAx>
        <c:axId val="115608720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'Evergreen only'!$C$208</c:f>
              <c:strCache>
                <c:ptCount val="1"/>
                <c:pt idx="0">
                  <c:v>Private Investments Est. Net Asset Value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'Evergreen only'!$D$202:$R$202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'Evergreen only'!$D$208:$R$208</c:f>
              <c:numCache>
                <c:formatCode>_("$"* #,##0_);_("$"* \(#,##0\);_("$"* "-"??_);_(@_)</c:formatCode>
                <c:ptCount val="15"/>
                <c:pt idx="0">
                  <c:v>10.939000000000002</c:v>
                </c:pt>
                <c:pt idx="1">
                  <c:v>11.966172100000003</c:v>
                </c:pt>
                <c:pt idx="2">
                  <c:v>13.089795660190005</c:v>
                </c:pt>
                <c:pt idx="3">
                  <c:v>14.318927472681848</c:v>
                </c:pt>
                <c:pt idx="4">
                  <c:v>15.663474762366675</c:v>
                </c:pt>
                <c:pt idx="5">
                  <c:v>17.134275042552908</c:v>
                </c:pt>
                <c:pt idx="6">
                  <c:v>18.743183469048628</c:v>
                </c:pt>
                <c:pt idx="7">
                  <c:v>20.503168396792297</c:v>
                </c:pt>
                <c:pt idx="8">
                  <c:v>22.428415909251093</c:v>
                </c:pt>
                <c:pt idx="9">
                  <c:v>24.534444163129773</c:v>
                </c:pt>
                <c:pt idx="10">
                  <c:v>26.83822847004766</c:v>
                </c:pt>
                <c:pt idx="11">
                  <c:v>29.358338123385138</c:v>
                </c:pt>
                <c:pt idx="12">
                  <c:v>32.115086073171007</c:v>
                </c:pt>
                <c:pt idx="13">
                  <c:v>35.13069265544177</c:v>
                </c:pt>
                <c:pt idx="14">
                  <c:v>38.42946469578775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7-4DAA-B589-24DCFD0A1ED9}"/>
            </c:ext>
          </c:extLst>
        </c:ser>
        <c:ser>
          <c:idx val="2"/>
          <c:order val="1"/>
          <c:tx>
            <c:strRef>
              <c:f>'Evergreen only'!$C$209</c:f>
              <c:strCache>
                <c:ptCount val="1"/>
                <c:pt idx="0">
                  <c:v>Est. Capital at Risk (Capital Called, net of Distributions)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'Evergreen only'!$D$202:$R$202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'Evergreen only'!$D$209:$R$209</c:f>
              <c:numCache>
                <c:formatCode>_("$"* #,##0_);_("$"* \(#,##0\);_("$"* "-"??_);_(@_)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7-4DAA-B589-24DCFD0A1ED9}"/>
            </c:ext>
          </c:extLst>
        </c:ser>
        <c:ser>
          <c:idx val="1"/>
          <c:order val="2"/>
          <c:tx>
            <c:strRef>
              <c:f>'Evergreen only'!$C$211</c:f>
              <c:strCache>
                <c:ptCount val="1"/>
                <c:pt idx="0">
                  <c:v> Private Investments Target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'Evergreen only'!$D$202:$R$202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'Evergreen only'!$D$211:$R$211</c:f>
              <c:numCache>
                <c:formatCode>_("$"* #,##0_);_("$"* \(#,##0\);_("$"* "-"??_);_(@_)</c:formatCode>
                <c:ptCount val="15"/>
                <c:pt idx="0">
                  <c:v>10</c:v>
                </c:pt>
                <c:pt idx="1">
                  <c:v>10.64</c:v>
                </c:pt>
                <c:pt idx="2">
                  <c:v>11.320959999999999</c:v>
                </c:pt>
                <c:pt idx="3">
                  <c:v>12.045501440000001</c:v>
                </c:pt>
                <c:pt idx="4">
                  <c:v>12.816413532160002</c:v>
                </c:pt>
                <c:pt idx="5">
                  <c:v>13.636663998218244</c:v>
                </c:pt>
                <c:pt idx="6">
                  <c:v>14.509410494104213</c:v>
                </c:pt>
                <c:pt idx="7">
                  <c:v>15.438012765726883</c:v>
                </c:pt>
                <c:pt idx="8">
                  <c:v>16.426045582733405</c:v>
                </c:pt>
                <c:pt idx="9">
                  <c:v>17.477312500028344</c:v>
                </c:pt>
                <c:pt idx="10">
                  <c:v>18.595860500030156</c:v>
                </c:pt>
                <c:pt idx="11">
                  <c:v>19.785995572032085</c:v>
                </c:pt>
                <c:pt idx="12">
                  <c:v>21.052299288642143</c:v>
                </c:pt>
                <c:pt idx="13">
                  <c:v>22.399646443115241</c:v>
                </c:pt>
                <c:pt idx="14">
                  <c:v>23.833223815474618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C27-4DAA-B589-24DCFD0A1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086808"/>
        <c:axId val="1156087200"/>
        <c:extLst/>
      </c:lineChart>
      <c:catAx>
        <c:axId val="115608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7200"/>
        <c:crosses val="autoZero"/>
        <c:auto val="1"/>
        <c:lblAlgn val="ctr"/>
        <c:lblOffset val="100"/>
        <c:noMultiLvlLbl val="0"/>
      </c:catAx>
      <c:valAx>
        <c:axId val="115608720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'Drawdown+reinvestment'!$C$203</c:f>
              <c:strCache>
                <c:ptCount val="1"/>
                <c:pt idx="0">
                  <c:v>Annual Capital Called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'Drawdown+reinvestment'!$D$202:$R$202</c15:sqref>
                  </c15:fullRef>
                </c:ext>
              </c:extLst>
              <c:f>'Drawdown+reinvestment'!$D$202:$M$202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'Drawdown+reinvestment'!$D$203:$R$203</c15:sqref>
                  </c15:fullRef>
                </c:ext>
              </c:extLst>
              <c:f>'Drawdown+reinvestment'!$D$203:$M$203</c:f>
              <c:numCache>
                <c:formatCode>_("$"* #,##0_);_("$"* \(#,##0\);_("$"* "-"??_);_(@_)</c:formatCode>
                <c:ptCount val="10"/>
                <c:pt idx="0">
                  <c:v>-0.67209606203262628</c:v>
                </c:pt>
                <c:pt idx="1">
                  <c:v>-1.4466221179072845</c:v>
                </c:pt>
                <c:pt idx="2">
                  <c:v>-2.2759607164977043</c:v>
                </c:pt>
                <c:pt idx="3">
                  <c:v>-2.9993100128503003</c:v>
                </c:pt>
                <c:pt idx="4">
                  <c:v>-3.4503275453261342</c:v>
                </c:pt>
                <c:pt idx="5">
                  <c:v>-3.6791162793530914</c:v>
                </c:pt>
                <c:pt idx="6">
                  <c:v>-3.7824556748959308</c:v>
                </c:pt>
                <c:pt idx="7">
                  <c:v>-3.8432477774708049</c:v>
                </c:pt>
                <c:pt idx="8">
                  <c:v>-3.8661918894104583</c:v>
                </c:pt>
                <c:pt idx="9">
                  <c:v>-3.8821421695134983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D-4087-BCD6-BF5F9D43E7C0}"/>
            </c:ext>
          </c:extLst>
        </c:ser>
        <c:ser>
          <c:idx val="1"/>
          <c:order val="1"/>
          <c:tx>
            <c:strRef>
              <c:f>'Drawdown+reinvestment'!$C$204</c:f>
              <c:strCache>
                <c:ptCount val="1"/>
                <c:pt idx="0">
                  <c:v>Annual Distributions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'Drawdown+reinvestment'!$D$202:$R$202</c15:sqref>
                  </c15:fullRef>
                </c:ext>
              </c:extLst>
              <c:f>'Drawdown+reinvestment'!$D$202:$M$202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'Drawdown+reinvestment'!$D$204:$R$204</c15:sqref>
                  </c15:fullRef>
                </c:ext>
              </c:extLst>
              <c:f>'Drawdown+reinvestment'!$D$204:$M$204</c:f>
              <c:numCache>
                <c:formatCode>_("$"* #,##0_);_("$"* \(#,##0\);_("$"* "-"??_);_(@_)</c:formatCode>
                <c:ptCount val="10"/>
                <c:pt idx="0">
                  <c:v>0</c:v>
                </c:pt>
                <c:pt idx="1">
                  <c:v>3.0005571181060814E-3</c:v>
                </c:pt>
                <c:pt idx="2">
                  <c:v>8.525872406733509E-2</c:v>
                </c:pt>
                <c:pt idx="3">
                  <c:v>0.41881877550722801</c:v>
                </c:pt>
                <c:pt idx="4">
                  <c:v>1.0720077089928066</c:v>
                </c:pt>
                <c:pt idx="5">
                  <c:v>1.7872267619704001</c:v>
                </c:pt>
                <c:pt idx="6">
                  <c:v>2.7577743847614595</c:v>
                </c:pt>
                <c:pt idx="7">
                  <c:v>3.7024568077548885</c:v>
                </c:pt>
                <c:pt idx="8">
                  <c:v>4.4761627668406776</c:v>
                </c:pt>
                <c:pt idx="9">
                  <c:v>5.0495511972735185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D-4087-BCD6-BF5F9D43E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086808"/>
        <c:axId val="1156087200"/>
      </c:barChart>
      <c:lineChart>
        <c:grouping val="stacked"/>
        <c:varyColors val="0"/>
        <c:ser>
          <c:idx val="3"/>
          <c:order val="2"/>
          <c:tx>
            <c:strRef>
              <c:f>'Drawdown+reinvestment'!$C$205</c:f>
              <c:strCache>
                <c:ptCount val="1"/>
                <c:pt idx="0">
                  <c:v>Annual Net Cash Flow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'Drawdown+reinvestment'!$D$100:$R$100</c15:sqref>
                  </c15:fullRef>
                </c:ext>
              </c:extLst>
              <c:f>'Drawdown+reinvestment'!$D$100:$M$100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'Drawdown+reinvestment'!$D$205:$R$205</c15:sqref>
                  </c15:fullRef>
                </c:ext>
              </c:extLst>
              <c:f>'Drawdown+reinvestment'!$D$205:$M$205</c:f>
              <c:numCache>
                <c:formatCode>_("$"* #,##0_);_("$"* \(#,##0\);_("$"* "-"??_);_(@_)</c:formatCode>
                <c:ptCount val="10"/>
                <c:pt idx="0">
                  <c:v>-0.67209606203262628</c:v>
                </c:pt>
                <c:pt idx="1">
                  <c:v>-1.4436215607891787</c:v>
                </c:pt>
                <c:pt idx="2">
                  <c:v>-2.1907019924303692</c:v>
                </c:pt>
                <c:pt idx="3">
                  <c:v>-2.5804912373430731</c:v>
                </c:pt>
                <c:pt idx="4">
                  <c:v>-2.3783198363333278</c:v>
                </c:pt>
                <c:pt idx="5">
                  <c:v>-1.891889517382692</c:v>
                </c:pt>
                <c:pt idx="6">
                  <c:v>-1.0246812901344711</c:v>
                </c:pt>
                <c:pt idx="7">
                  <c:v>-0.14079096971591598</c:v>
                </c:pt>
                <c:pt idx="8">
                  <c:v>0.60997087743021894</c:v>
                </c:pt>
                <c:pt idx="9">
                  <c:v>1.1674090277600211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D-4087-BCD6-BF5F9D43E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086808"/>
        <c:axId val="1156087200"/>
      </c:lineChart>
      <c:catAx>
        <c:axId val="115608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7200"/>
        <c:crosses val="autoZero"/>
        <c:auto val="1"/>
        <c:lblAlgn val="ctr"/>
        <c:lblOffset val="100"/>
        <c:noMultiLvlLbl val="0"/>
      </c:catAx>
      <c:valAx>
        <c:axId val="115608720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'Drawdown+reinvestment'!$C$208</c:f>
              <c:strCache>
                <c:ptCount val="1"/>
                <c:pt idx="0">
                  <c:v>Private Investments Est. Net Asset Value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'Drawdown+reinvestment'!$D$202:$R$202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'Drawdown+reinvestment'!$D$208:$R$208</c:f>
              <c:numCache>
                <c:formatCode>_("$"* #,##0_);_("$"* \(#,##0\);_("$"* "-"??_);_(@_)</c:formatCode>
                <c:ptCount val="15"/>
                <c:pt idx="0">
                  <c:v>10.600656061734579</c:v>
                </c:pt>
                <c:pt idx="1">
                  <c:v>11.132371537977539</c:v>
                </c:pt>
                <c:pt idx="2">
                  <c:v>11.668652390867569</c:v>
                </c:pt>
                <c:pt idx="3">
                  <c:v>12.356558959116903</c:v>
                </c:pt>
                <c:pt idx="4">
                  <c:v>13.459100068305805</c:v>
                </c:pt>
                <c:pt idx="5">
                  <c:v>14.78780112732691</c:v>
                </c:pt>
                <c:pt idx="6">
                  <c:v>16.636855749808994</c:v>
                </c:pt>
                <c:pt idx="7">
                  <c:v>18.924891567522351</c:v>
                </c:pt>
                <c:pt idx="8">
                  <c:v>21.502851919497125</c:v>
                </c:pt>
                <c:pt idx="9">
                  <c:v>24.365162484958201</c:v>
                </c:pt>
                <c:pt idx="10">
                  <c:v>27.55203958693043</c:v>
                </c:pt>
                <c:pt idx="11">
                  <c:v>30.944749435239409</c:v>
                </c:pt>
                <c:pt idx="12">
                  <c:v>34.569892283617229</c:v>
                </c:pt>
                <c:pt idx="13">
                  <c:v>38.441810391308465</c:v>
                </c:pt>
                <c:pt idx="14">
                  <c:v>42.613909284381542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E6-4ECB-8B17-3C75D49AD576}"/>
            </c:ext>
          </c:extLst>
        </c:ser>
        <c:ser>
          <c:idx val="2"/>
          <c:order val="1"/>
          <c:tx>
            <c:strRef>
              <c:f>'Drawdown+reinvestment'!$C$209</c:f>
              <c:strCache>
                <c:ptCount val="1"/>
                <c:pt idx="0">
                  <c:v>Est. Capital at Risk (Capital Called, net of Distributions)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'Drawdown+reinvestment'!$D$202:$R$202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'Drawdown+reinvestment'!$D$209:$R$209</c:f>
              <c:numCache>
                <c:formatCode>_("$"* #,##0_);_("$"* \(#,##0\);_("$"* "-"??_);_(@_)</c:formatCode>
                <c:ptCount val="15"/>
                <c:pt idx="0">
                  <c:v>0.67209606203262628</c:v>
                </c:pt>
                <c:pt idx="1">
                  <c:v>2.1157176228218049</c:v>
                </c:pt>
                <c:pt idx="2">
                  <c:v>4.3064196152521745</c:v>
                </c:pt>
                <c:pt idx="3">
                  <c:v>6.886910852595248</c:v>
                </c:pt>
                <c:pt idx="4">
                  <c:v>9.2652306889285754</c:v>
                </c:pt>
                <c:pt idx="5">
                  <c:v>11.157120206311268</c:v>
                </c:pt>
                <c:pt idx="6">
                  <c:v>12.181801496445738</c:v>
                </c:pt>
                <c:pt idx="7">
                  <c:v>12.322592466161653</c:v>
                </c:pt>
                <c:pt idx="8">
                  <c:v>11.712621588731434</c:v>
                </c:pt>
                <c:pt idx="9">
                  <c:v>10.545212560971413</c:v>
                </c:pt>
                <c:pt idx="10">
                  <c:v>8.7950827233411442</c:v>
                </c:pt>
                <c:pt idx="11">
                  <c:v>6.7296534765643736</c:v>
                </c:pt>
                <c:pt idx="12">
                  <c:v>4.4198954452911527</c:v>
                </c:pt>
                <c:pt idx="13">
                  <c:v>1.9815715315533304</c:v>
                </c:pt>
                <c:pt idx="14">
                  <c:v>-0.57338230790617439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E6-4ECB-8B17-3C75D49AD576}"/>
            </c:ext>
          </c:extLst>
        </c:ser>
        <c:ser>
          <c:idx val="1"/>
          <c:order val="2"/>
          <c:tx>
            <c:strRef>
              <c:f>'Drawdown+reinvestment'!$C$211</c:f>
              <c:strCache>
                <c:ptCount val="1"/>
                <c:pt idx="0">
                  <c:v> Private Investments Target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'Drawdown+reinvestment'!$D$202:$R$202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'Drawdown+reinvestment'!$D$211:$R$211</c:f>
              <c:numCache>
                <c:formatCode>_("$"* #,##0_);_("$"* \(#,##0\);_("$"* "-"??_);_(@_)</c:formatCode>
                <c:ptCount val="15"/>
                <c:pt idx="0">
                  <c:v>10</c:v>
                </c:pt>
                <c:pt idx="1">
                  <c:v>10.61</c:v>
                </c:pt>
                <c:pt idx="2">
                  <c:v>11.257210000000001</c:v>
                </c:pt>
                <c:pt idx="3">
                  <c:v>11.943899809999998</c:v>
                </c:pt>
                <c:pt idx="4">
                  <c:v>12.672477698409999</c:v>
                </c:pt>
                <c:pt idx="5">
                  <c:v>13.445498838013009</c:v>
                </c:pt>
                <c:pt idx="6">
                  <c:v>14.265674267131802</c:v>
                </c:pt>
                <c:pt idx="7">
                  <c:v>15.13588039742684</c:v>
                </c:pt>
                <c:pt idx="8">
                  <c:v>16.059169101669877</c:v>
                </c:pt>
                <c:pt idx="9">
                  <c:v>17.038778416871736</c:v>
                </c:pt>
                <c:pt idx="10">
                  <c:v>18.078143900300912</c:v>
                </c:pt>
                <c:pt idx="11">
                  <c:v>19.180910678219266</c:v>
                </c:pt>
                <c:pt idx="12">
                  <c:v>20.35094622959064</c:v>
                </c:pt>
                <c:pt idx="13">
                  <c:v>21.592353949595669</c:v>
                </c:pt>
                <c:pt idx="14">
                  <c:v>22.909487540521003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6E6-4ECB-8B17-3C75D49AD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086808"/>
        <c:axId val="1156087200"/>
        <c:extLst/>
      </c:lineChart>
      <c:catAx>
        <c:axId val="115608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7200"/>
        <c:crosses val="autoZero"/>
        <c:auto val="1"/>
        <c:lblAlgn val="ctr"/>
        <c:lblOffset val="100"/>
        <c:noMultiLvlLbl val="0"/>
      </c:catAx>
      <c:valAx>
        <c:axId val="115608720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'Drawdown+Evergreen from start'!$C$203</c:f>
              <c:strCache>
                <c:ptCount val="1"/>
                <c:pt idx="0">
                  <c:v>Annual Capital Called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'Drawdown+Evergreen from start'!$D$202:$R$202</c15:sqref>
                  </c15:fullRef>
                </c:ext>
              </c:extLst>
              <c:f>'Drawdown+Evergreen from start'!$D$202:$M$202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'Drawdown+Evergreen from start'!$D$203:$R$203</c15:sqref>
                  </c15:fullRef>
                </c:ext>
              </c:extLst>
              <c:f>'Drawdown+Evergreen from start'!$D$203:$M$203</c:f>
              <c:numCache>
                <c:formatCode>_("$"* #,##0_);_("$"* \(#,##0\);_("$"* "-"??_);_(@_)</c:formatCode>
                <c:ptCount val="10"/>
                <c:pt idx="0">
                  <c:v>-5.3360480310163139</c:v>
                </c:pt>
                <c:pt idx="1">
                  <c:v>-0.72331105895364223</c:v>
                </c:pt>
                <c:pt idx="2">
                  <c:v>-1.1379803582488521</c:v>
                </c:pt>
                <c:pt idx="3">
                  <c:v>-1.4996550064251501</c:v>
                </c:pt>
                <c:pt idx="4">
                  <c:v>-1.7251637726630671</c:v>
                </c:pt>
                <c:pt idx="5">
                  <c:v>-1.8395581396765457</c:v>
                </c:pt>
                <c:pt idx="6">
                  <c:v>-1.8912278374479654</c:v>
                </c:pt>
                <c:pt idx="7">
                  <c:v>-1.9216238887354025</c:v>
                </c:pt>
                <c:pt idx="8">
                  <c:v>-1.9330959447052292</c:v>
                </c:pt>
                <c:pt idx="9">
                  <c:v>-1.9410710847567492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A-4DE6-8488-EFB680D1827E}"/>
            </c:ext>
          </c:extLst>
        </c:ser>
        <c:ser>
          <c:idx val="1"/>
          <c:order val="1"/>
          <c:tx>
            <c:strRef>
              <c:f>'Drawdown+Evergreen from start'!$C$204</c:f>
              <c:strCache>
                <c:ptCount val="1"/>
                <c:pt idx="0">
                  <c:v>Annual Distributions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'Drawdown+Evergreen from start'!$D$202:$R$202</c15:sqref>
                  </c15:fullRef>
                </c:ext>
              </c:extLst>
              <c:f>'Drawdown+Evergreen from start'!$D$202:$M$202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'Drawdown+Evergreen from start'!$D$204:$R$204</c15:sqref>
                  </c15:fullRef>
                </c:ext>
              </c:extLst>
              <c:f>'Drawdown+Evergreen from start'!$D$204:$M$204</c:f>
              <c:numCache>
                <c:formatCode>_("$"* #,##0_);_("$"* \(#,##0\);_("$"* "-"??_);_(@_)</c:formatCode>
                <c:ptCount val="10"/>
                <c:pt idx="0">
                  <c:v>0</c:v>
                </c:pt>
                <c:pt idx="1">
                  <c:v>1.5002785590530407E-3</c:v>
                </c:pt>
                <c:pt idx="2">
                  <c:v>4.2629362033667545E-2</c:v>
                </c:pt>
                <c:pt idx="3">
                  <c:v>0.20940938775361401</c:v>
                </c:pt>
                <c:pt idx="4">
                  <c:v>0.53600385449640331</c:v>
                </c:pt>
                <c:pt idx="5">
                  <c:v>0.89361338098520005</c:v>
                </c:pt>
                <c:pt idx="6">
                  <c:v>1.3788871923807298</c:v>
                </c:pt>
                <c:pt idx="7">
                  <c:v>1.8512284038774443</c:v>
                </c:pt>
                <c:pt idx="8">
                  <c:v>2.2380813834203388</c:v>
                </c:pt>
                <c:pt idx="9">
                  <c:v>2.5247755986367593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0A-4DE6-8488-EFB680D18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086808"/>
        <c:axId val="1156087200"/>
      </c:barChart>
      <c:lineChart>
        <c:grouping val="stacked"/>
        <c:varyColors val="0"/>
        <c:ser>
          <c:idx val="3"/>
          <c:order val="2"/>
          <c:tx>
            <c:strRef>
              <c:f>'Drawdown+Evergreen from start'!$C$205</c:f>
              <c:strCache>
                <c:ptCount val="1"/>
                <c:pt idx="0">
                  <c:v>Annual Net Cash Flow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'Drawdown+Evergreen from start'!$D$100:$R$100</c15:sqref>
                  </c15:fullRef>
                </c:ext>
              </c:extLst>
              <c:f>'Drawdown+Evergreen from start'!$D$100:$M$100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'Drawdown+Evergreen from start'!$D$205:$R$205</c15:sqref>
                  </c15:fullRef>
                </c:ext>
              </c:extLst>
              <c:f>'Drawdown+Evergreen from start'!$D$205:$M$205</c:f>
              <c:numCache>
                <c:formatCode>_("$"* #,##0_);_("$"* \(#,##0\);_("$"* "-"??_);_(@_)</c:formatCode>
                <c:ptCount val="10"/>
                <c:pt idx="0">
                  <c:v>-5.3360480310163139</c:v>
                </c:pt>
                <c:pt idx="1">
                  <c:v>-0.72181078039458935</c:v>
                </c:pt>
                <c:pt idx="2">
                  <c:v>-1.0953509962151846</c:v>
                </c:pt>
                <c:pt idx="3">
                  <c:v>-1.2902456186715365</c:v>
                </c:pt>
                <c:pt idx="4">
                  <c:v>-1.1891599181666639</c:v>
                </c:pt>
                <c:pt idx="5">
                  <c:v>-0.94594475869134598</c:v>
                </c:pt>
                <c:pt idx="6">
                  <c:v>-0.51234064506723553</c:v>
                </c:pt>
                <c:pt idx="7">
                  <c:v>-7.0395484857957991E-2</c:v>
                </c:pt>
                <c:pt idx="8">
                  <c:v>0.30498543871510947</c:v>
                </c:pt>
                <c:pt idx="9">
                  <c:v>0.58370451388001054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A-4DE6-8488-EFB680D18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086808"/>
        <c:axId val="1156087200"/>
      </c:lineChart>
      <c:catAx>
        <c:axId val="115608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7200"/>
        <c:crosses val="autoZero"/>
        <c:auto val="1"/>
        <c:lblAlgn val="ctr"/>
        <c:lblOffset val="100"/>
        <c:noMultiLvlLbl val="0"/>
      </c:catAx>
      <c:valAx>
        <c:axId val="115608720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'Drawdown+Evergreen from start'!$C$208</c:f>
              <c:strCache>
                <c:ptCount val="1"/>
                <c:pt idx="0">
                  <c:v>Private Investments Est. Net Asset Value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'Drawdown+Evergreen from start'!$D$202:$R$202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'Drawdown+Evergreen from start'!$D$208:$R$208</c:f>
              <c:numCache>
                <c:formatCode>_("$"* #,##0_);_("$"* \(#,##0\);_("$"* "-"??_);_(@_)</c:formatCode>
                <c:ptCount val="15"/>
                <c:pt idx="0">
                  <c:v>10.76982803086729</c:v>
                </c:pt>
                <c:pt idx="1">
                  <c:v>11.549271818988773</c:v>
                </c:pt>
                <c:pt idx="2">
                  <c:v>12.379224025528787</c:v>
                </c:pt>
                <c:pt idx="3">
                  <c:v>13.337743215899375</c:v>
                </c:pt>
                <c:pt idx="4">
                  <c:v>14.56128741533624</c:v>
                </c:pt>
                <c:pt idx="5">
                  <c:v>15.961038084939908</c:v>
                </c:pt>
                <c:pt idx="6">
                  <c:v>17.690019609428813</c:v>
                </c:pt>
                <c:pt idx="7">
                  <c:v>19.714029982157324</c:v>
                </c:pt>
                <c:pt idx="8">
                  <c:v>21.965633914374109</c:v>
                </c:pt>
                <c:pt idx="9">
                  <c:v>24.449803324043984</c:v>
                </c:pt>
                <c:pt idx="10">
                  <c:v>27.195134028489047</c:v>
                </c:pt>
                <c:pt idx="11">
                  <c:v>30.15154377931227</c:v>
                </c:pt>
                <c:pt idx="12">
                  <c:v>33.342489178394118</c:v>
                </c:pt>
                <c:pt idx="13">
                  <c:v>36.786251523375114</c:v>
                </c:pt>
                <c:pt idx="14">
                  <c:v>40.521686990084646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9-4982-8C2A-476175E962A3}"/>
            </c:ext>
          </c:extLst>
        </c:ser>
        <c:ser>
          <c:idx val="2"/>
          <c:order val="1"/>
          <c:tx>
            <c:strRef>
              <c:f>'Drawdown+Evergreen from start'!$C$209</c:f>
              <c:strCache>
                <c:ptCount val="1"/>
                <c:pt idx="0">
                  <c:v>Est. Capital at Risk (Capital Called, net of Distributions)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'Drawdown+Evergreen from start'!$D$202:$R$202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'Drawdown+Evergreen from start'!$D$209:$R$209</c:f>
              <c:numCache>
                <c:formatCode>_("$"* #,##0_);_("$"* \(#,##0\);_("$"* "-"??_);_(@_)</c:formatCode>
                <c:ptCount val="15"/>
                <c:pt idx="0">
                  <c:v>5.3360480310163139</c:v>
                </c:pt>
                <c:pt idx="1">
                  <c:v>6.0578588114109033</c:v>
                </c:pt>
                <c:pt idx="2">
                  <c:v>7.1532098076260882</c:v>
                </c:pt>
                <c:pt idx="3">
                  <c:v>8.4434554262976249</c:v>
                </c:pt>
                <c:pt idx="4">
                  <c:v>9.6326153444642895</c:v>
                </c:pt>
                <c:pt idx="5">
                  <c:v>10.578560103155635</c:v>
                </c:pt>
                <c:pt idx="6">
                  <c:v>11.09090074822287</c:v>
                </c:pt>
                <c:pt idx="7">
                  <c:v>11.161296233080828</c:v>
                </c:pt>
                <c:pt idx="8">
                  <c:v>10.856310794365719</c:v>
                </c:pt>
                <c:pt idx="9">
                  <c:v>10.272606280485707</c:v>
                </c:pt>
                <c:pt idx="10">
                  <c:v>9.397541361670573</c:v>
                </c:pt>
                <c:pt idx="11">
                  <c:v>8.3648267382821881</c:v>
                </c:pt>
                <c:pt idx="12">
                  <c:v>7.2099477226455777</c:v>
                </c:pt>
                <c:pt idx="13">
                  <c:v>5.9907857657766668</c:v>
                </c:pt>
                <c:pt idx="14">
                  <c:v>4.7133088460469139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9-4982-8C2A-476175E962A3}"/>
            </c:ext>
          </c:extLst>
        </c:ser>
        <c:ser>
          <c:idx val="1"/>
          <c:order val="2"/>
          <c:tx>
            <c:strRef>
              <c:f>'Drawdown+Evergreen from start'!$C$211</c:f>
              <c:strCache>
                <c:ptCount val="1"/>
                <c:pt idx="0">
                  <c:v> Private Investments Target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'Drawdown+Evergreen from start'!$D$202:$R$202</c:f>
              <c:strCache>
                <c:ptCount val="1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  <c:pt idx="10">
                  <c:v>Year 11</c:v>
                </c:pt>
                <c:pt idx="11">
                  <c:v>Year 12</c:v>
                </c:pt>
                <c:pt idx="12">
                  <c:v>Year 13</c:v>
                </c:pt>
                <c:pt idx="13">
                  <c:v>Year 14</c:v>
                </c:pt>
                <c:pt idx="14">
                  <c:v>Year 15</c:v>
                </c:pt>
              </c:strCache>
            </c:strRef>
          </c:cat>
          <c:val>
            <c:numRef>
              <c:f>'Drawdown+Evergreen from start'!$D$211:$R$211</c:f>
              <c:numCache>
                <c:formatCode>_("$"* #,##0_);_("$"* \(#,##0\);_("$"* "-"??_);_(@_)</c:formatCode>
                <c:ptCount val="15"/>
                <c:pt idx="0">
                  <c:v>10</c:v>
                </c:pt>
                <c:pt idx="1">
                  <c:v>10.61</c:v>
                </c:pt>
                <c:pt idx="2">
                  <c:v>11.257210000000001</c:v>
                </c:pt>
                <c:pt idx="3">
                  <c:v>11.943899809999998</c:v>
                </c:pt>
                <c:pt idx="4">
                  <c:v>12.672477698409999</c:v>
                </c:pt>
                <c:pt idx="5">
                  <c:v>13.445498838013009</c:v>
                </c:pt>
                <c:pt idx="6">
                  <c:v>14.265674267131802</c:v>
                </c:pt>
                <c:pt idx="7">
                  <c:v>15.13588039742684</c:v>
                </c:pt>
                <c:pt idx="8">
                  <c:v>16.059169101669877</c:v>
                </c:pt>
                <c:pt idx="9">
                  <c:v>17.038778416871736</c:v>
                </c:pt>
                <c:pt idx="10">
                  <c:v>18.078143900300912</c:v>
                </c:pt>
                <c:pt idx="11">
                  <c:v>19.180910678219266</c:v>
                </c:pt>
                <c:pt idx="12">
                  <c:v>20.35094622959064</c:v>
                </c:pt>
                <c:pt idx="13">
                  <c:v>21.592353949595669</c:v>
                </c:pt>
                <c:pt idx="14">
                  <c:v>22.909487540521003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F69-4982-8C2A-476175E96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086808"/>
        <c:axId val="1156087200"/>
        <c:extLst/>
      </c:lineChart>
      <c:catAx>
        <c:axId val="115608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7200"/>
        <c:crosses val="autoZero"/>
        <c:auto val="1"/>
        <c:lblAlgn val="ctr"/>
        <c:lblOffset val="100"/>
        <c:noMultiLvlLbl val="0"/>
      </c:catAx>
      <c:valAx>
        <c:axId val="115608720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8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28574</xdr:rowOff>
    </xdr:from>
    <xdr:to>
      <xdr:col>14</xdr:col>
      <xdr:colOff>581025</xdr:colOff>
      <xdr:row>51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3FA977-C6DB-C45C-9E55-3303011FA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</cdr:x>
      <cdr:y>0.01457</cdr:y>
    </cdr:from>
    <cdr:to>
      <cdr:x>0.006</cdr:x>
      <cdr:y>0.01457</cdr:y>
    </cdr:to>
    <cdr:sp macro="" textlink="">
      <cdr:nvSpPr>
        <cdr:cNvPr id="2" name="PitchProPlusID" descr="58294676" hidden="1">
          <a:extLst xmlns:a="http://schemas.openxmlformats.org/drawingml/2006/main">
            <a:ext uri="{FF2B5EF4-FFF2-40B4-BE49-F238E27FC236}">
              <a16:creationId xmlns:a16="http://schemas.microsoft.com/office/drawing/2014/main" id="{35180A05-AE38-C027-9300-5953964CB15D}"/>
            </a:ext>
          </a:extLst>
        </cdr:cNvPr>
        <cdr:cNvSpPr/>
      </cdr:nvSpPr>
      <cdr:spPr>
        <a:xfrm xmlns:a="http://schemas.openxmlformats.org/drawingml/2006/main">
          <a:off x="50800" y="50800"/>
          <a:ext cx="0" cy="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235126</xdr:colOff>
      <xdr:row>2</xdr:row>
      <xdr:rowOff>221675</xdr:rowOff>
    </xdr:from>
    <xdr:to>
      <xdr:col>30</xdr:col>
      <xdr:colOff>180975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571501</xdr:colOff>
      <xdr:row>3</xdr:row>
      <xdr:rowOff>867</xdr:rowOff>
    </xdr:from>
    <xdr:to>
      <xdr:col>45</xdr:col>
      <xdr:colOff>200715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4CE199-15B4-4588-8B9C-00CBE729F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0.00562</cdr:x>
      <cdr:y>0.0198</cdr:y>
    </cdr:from>
    <cdr:to>
      <cdr:x>0.00562</cdr:x>
      <cdr:y>0.0198</cdr:y>
    </cdr:to>
    <cdr:sp macro="" textlink="">
      <cdr:nvSpPr>
        <cdr:cNvPr id="2" name="PitchProPlusID" descr="17547868" hidden="1">
          <a:extLst xmlns:a="http://schemas.openxmlformats.org/drawingml/2006/main">
            <a:ext uri="{FF2B5EF4-FFF2-40B4-BE49-F238E27FC236}">
              <a16:creationId xmlns:a16="http://schemas.microsoft.com/office/drawing/2014/main" id="{A8185B6E-47A2-4418-A5BE-9DED5D9F134C}"/>
            </a:ext>
          </a:extLst>
        </cdr:cNvPr>
        <cdr:cNvSpPr/>
      </cdr:nvSpPr>
      <cdr:spPr>
        <a:xfrm xmlns:a="http://schemas.openxmlformats.org/drawingml/2006/main">
          <a:off x="50800" y="50800"/>
          <a:ext cx="0" cy="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0.00562</cdr:x>
      <cdr:y>0.0198</cdr:y>
    </cdr:from>
    <cdr:to>
      <cdr:x>0.00562</cdr:x>
      <cdr:y>0.0198</cdr:y>
    </cdr:to>
    <cdr:sp macro="" textlink="">
      <cdr:nvSpPr>
        <cdr:cNvPr id="2" name="PitchProPlusID" descr="17547868" hidden="1">
          <a:extLst xmlns:a="http://schemas.openxmlformats.org/drawingml/2006/main">
            <a:ext uri="{FF2B5EF4-FFF2-40B4-BE49-F238E27FC236}">
              <a16:creationId xmlns:a16="http://schemas.microsoft.com/office/drawing/2014/main" id="{A8185B6E-47A2-4418-A5BE-9DED5D9F134C}"/>
            </a:ext>
          </a:extLst>
        </cdr:cNvPr>
        <cdr:cNvSpPr/>
      </cdr:nvSpPr>
      <cdr:spPr>
        <a:xfrm xmlns:a="http://schemas.openxmlformats.org/drawingml/2006/main">
          <a:off x="50800" y="50800"/>
          <a:ext cx="0" cy="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235126</xdr:colOff>
      <xdr:row>2</xdr:row>
      <xdr:rowOff>221675</xdr:rowOff>
    </xdr:from>
    <xdr:to>
      <xdr:col>30</xdr:col>
      <xdr:colOff>180975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37DC1-D58D-492A-86B5-6AD9E5E50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571501</xdr:colOff>
      <xdr:row>3</xdr:row>
      <xdr:rowOff>867</xdr:rowOff>
    </xdr:from>
    <xdr:to>
      <xdr:col>45</xdr:col>
      <xdr:colOff>200715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E297C0-8F96-4A22-A5B8-12C59AF8C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0.00562</cdr:x>
      <cdr:y>0.0198</cdr:y>
    </cdr:from>
    <cdr:to>
      <cdr:x>0.00562</cdr:x>
      <cdr:y>0.0198</cdr:y>
    </cdr:to>
    <cdr:sp macro="" textlink="">
      <cdr:nvSpPr>
        <cdr:cNvPr id="2" name="PitchProPlusID" descr="17547868" hidden="1">
          <a:extLst xmlns:a="http://schemas.openxmlformats.org/drawingml/2006/main">
            <a:ext uri="{FF2B5EF4-FFF2-40B4-BE49-F238E27FC236}">
              <a16:creationId xmlns:a16="http://schemas.microsoft.com/office/drawing/2014/main" id="{A8185B6E-47A2-4418-A5BE-9DED5D9F134C}"/>
            </a:ext>
          </a:extLst>
        </cdr:cNvPr>
        <cdr:cNvSpPr/>
      </cdr:nvSpPr>
      <cdr:spPr>
        <a:xfrm xmlns:a="http://schemas.openxmlformats.org/drawingml/2006/main">
          <a:off x="50800" y="50800"/>
          <a:ext cx="0" cy="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0.00562</cdr:x>
      <cdr:y>0.0198</cdr:y>
    </cdr:from>
    <cdr:to>
      <cdr:x>0.00562</cdr:x>
      <cdr:y>0.0198</cdr:y>
    </cdr:to>
    <cdr:sp macro="" textlink="">
      <cdr:nvSpPr>
        <cdr:cNvPr id="2" name="PitchProPlusID" descr="17547868" hidden="1">
          <a:extLst xmlns:a="http://schemas.openxmlformats.org/drawingml/2006/main">
            <a:ext uri="{FF2B5EF4-FFF2-40B4-BE49-F238E27FC236}">
              <a16:creationId xmlns:a16="http://schemas.microsoft.com/office/drawing/2014/main" id="{A8185B6E-47A2-4418-A5BE-9DED5D9F134C}"/>
            </a:ext>
          </a:extLst>
        </cdr:cNvPr>
        <cdr:cNvSpPr/>
      </cdr:nvSpPr>
      <cdr:spPr>
        <a:xfrm xmlns:a="http://schemas.openxmlformats.org/drawingml/2006/main">
          <a:off x="50800" y="50800"/>
          <a:ext cx="0" cy="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235126</xdr:colOff>
      <xdr:row>2</xdr:row>
      <xdr:rowOff>221675</xdr:rowOff>
    </xdr:from>
    <xdr:to>
      <xdr:col>30</xdr:col>
      <xdr:colOff>180975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14387-4748-4027-B45A-B8B500692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571501</xdr:colOff>
      <xdr:row>3</xdr:row>
      <xdr:rowOff>867</xdr:rowOff>
    </xdr:from>
    <xdr:to>
      <xdr:col>45</xdr:col>
      <xdr:colOff>200715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438025-5BCE-4D85-8CF7-D7E1045D8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0.00562</cdr:x>
      <cdr:y>0.0198</cdr:y>
    </cdr:from>
    <cdr:to>
      <cdr:x>0.00562</cdr:x>
      <cdr:y>0.0198</cdr:y>
    </cdr:to>
    <cdr:sp macro="" textlink="">
      <cdr:nvSpPr>
        <cdr:cNvPr id="2" name="PitchProPlusID" descr="17547868" hidden="1">
          <a:extLst xmlns:a="http://schemas.openxmlformats.org/drawingml/2006/main">
            <a:ext uri="{FF2B5EF4-FFF2-40B4-BE49-F238E27FC236}">
              <a16:creationId xmlns:a16="http://schemas.microsoft.com/office/drawing/2014/main" id="{A8185B6E-47A2-4418-A5BE-9DED5D9F134C}"/>
            </a:ext>
          </a:extLst>
        </cdr:cNvPr>
        <cdr:cNvSpPr/>
      </cdr:nvSpPr>
      <cdr:spPr>
        <a:xfrm xmlns:a="http://schemas.openxmlformats.org/drawingml/2006/main">
          <a:off x="50800" y="50800"/>
          <a:ext cx="0" cy="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0.00562</cdr:x>
      <cdr:y>0.0198</cdr:y>
    </cdr:from>
    <cdr:to>
      <cdr:x>0.00562</cdr:x>
      <cdr:y>0.0198</cdr:y>
    </cdr:to>
    <cdr:sp macro="" textlink="">
      <cdr:nvSpPr>
        <cdr:cNvPr id="2" name="PitchProPlusID" descr="17547868" hidden="1">
          <a:extLst xmlns:a="http://schemas.openxmlformats.org/drawingml/2006/main">
            <a:ext uri="{FF2B5EF4-FFF2-40B4-BE49-F238E27FC236}">
              <a16:creationId xmlns:a16="http://schemas.microsoft.com/office/drawing/2014/main" id="{A8185B6E-47A2-4418-A5BE-9DED5D9F134C}"/>
            </a:ext>
          </a:extLst>
        </cdr:cNvPr>
        <cdr:cNvSpPr/>
      </cdr:nvSpPr>
      <cdr:spPr>
        <a:xfrm xmlns:a="http://schemas.openxmlformats.org/drawingml/2006/main">
          <a:off x="50800" y="50800"/>
          <a:ext cx="0" cy="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235126</xdr:colOff>
      <xdr:row>2</xdr:row>
      <xdr:rowOff>221675</xdr:rowOff>
    </xdr:from>
    <xdr:to>
      <xdr:col>30</xdr:col>
      <xdr:colOff>180975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E8AFE-1317-45C2-8FC1-8CC3EF877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571501</xdr:colOff>
      <xdr:row>3</xdr:row>
      <xdr:rowOff>867</xdr:rowOff>
    </xdr:from>
    <xdr:to>
      <xdr:col>45</xdr:col>
      <xdr:colOff>200715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5D427-0ECC-4396-AC18-37CD62764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0.00562</cdr:x>
      <cdr:y>0.0198</cdr:y>
    </cdr:from>
    <cdr:to>
      <cdr:x>0.00562</cdr:x>
      <cdr:y>0.0198</cdr:y>
    </cdr:to>
    <cdr:sp macro="" textlink="">
      <cdr:nvSpPr>
        <cdr:cNvPr id="2" name="PitchProPlusID" descr="17547868" hidden="1">
          <a:extLst xmlns:a="http://schemas.openxmlformats.org/drawingml/2006/main">
            <a:ext uri="{FF2B5EF4-FFF2-40B4-BE49-F238E27FC236}">
              <a16:creationId xmlns:a16="http://schemas.microsoft.com/office/drawing/2014/main" id="{A8185B6E-47A2-4418-A5BE-9DED5D9F134C}"/>
            </a:ext>
          </a:extLst>
        </cdr:cNvPr>
        <cdr:cNvSpPr/>
      </cdr:nvSpPr>
      <cdr:spPr>
        <a:xfrm xmlns:a="http://schemas.openxmlformats.org/drawingml/2006/main">
          <a:off x="50800" y="50800"/>
          <a:ext cx="0" cy="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0.00562</cdr:x>
      <cdr:y>0.0198</cdr:y>
    </cdr:from>
    <cdr:to>
      <cdr:x>0.00562</cdr:x>
      <cdr:y>0.0198</cdr:y>
    </cdr:to>
    <cdr:sp macro="" textlink="">
      <cdr:nvSpPr>
        <cdr:cNvPr id="2" name="PitchProPlusID" descr="17547868" hidden="1">
          <a:extLst xmlns:a="http://schemas.openxmlformats.org/drawingml/2006/main">
            <a:ext uri="{FF2B5EF4-FFF2-40B4-BE49-F238E27FC236}">
              <a16:creationId xmlns:a16="http://schemas.microsoft.com/office/drawing/2014/main" id="{A8185B6E-47A2-4418-A5BE-9DED5D9F134C}"/>
            </a:ext>
          </a:extLst>
        </cdr:cNvPr>
        <cdr:cNvSpPr/>
      </cdr:nvSpPr>
      <cdr:spPr>
        <a:xfrm xmlns:a="http://schemas.openxmlformats.org/drawingml/2006/main">
          <a:off x="50800" y="50800"/>
          <a:ext cx="0" cy="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17</xdr:row>
      <xdr:rowOff>76200</xdr:rowOff>
    </xdr:from>
    <xdr:to>
      <xdr:col>15</xdr:col>
      <xdr:colOff>494758</xdr:colOff>
      <xdr:row>29</xdr:row>
      <xdr:rowOff>66433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4026E4-FF78-4021-A485-60851F317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0625" y="2828925"/>
          <a:ext cx="4333333" cy="1933333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29</xdr:row>
      <xdr:rowOff>66674</xdr:rowOff>
    </xdr:from>
    <xdr:to>
      <xdr:col>17</xdr:col>
      <xdr:colOff>119060</xdr:colOff>
      <xdr:row>33</xdr:row>
      <xdr:rowOff>19049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80180F-6D56-4B26-89AB-CB2E11A00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100" y="4762499"/>
          <a:ext cx="5033960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91</xdr:row>
      <xdr:rowOff>72205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ED9D90-CD17-263A-8C1D-C6FE70F25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486400" cy="148073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C140-17B4-46DC-ADAE-C1F528110FEB}">
  <sheetPr codeName="Sheet16"/>
  <dimension ref="B1:Q6"/>
  <sheetViews>
    <sheetView workbookViewId="0">
      <selection activeCell="Q40" sqref="Q40"/>
    </sheetView>
  </sheetViews>
  <sheetFormatPr defaultRowHeight="12.75"/>
  <sheetData>
    <row r="1" spans="2:17" s="38" customFormat="1">
      <c r="B1" s="38" t="s">
        <v>322</v>
      </c>
    </row>
    <row r="2" spans="2:17">
      <c r="B2" s="73"/>
      <c r="C2" s="74" t="s">
        <v>6</v>
      </c>
      <c r="D2" s="74" t="s">
        <v>7</v>
      </c>
      <c r="E2" s="74" t="s">
        <v>8</v>
      </c>
      <c r="F2" s="74" t="s">
        <v>9</v>
      </c>
      <c r="G2" s="74" t="s">
        <v>10</v>
      </c>
      <c r="H2" s="74" t="s">
        <v>11</v>
      </c>
      <c r="I2" s="74" t="s">
        <v>12</v>
      </c>
      <c r="J2" s="74" t="s">
        <v>13</v>
      </c>
      <c r="K2" s="74" t="s">
        <v>14</v>
      </c>
      <c r="L2" s="74" t="s">
        <v>15</v>
      </c>
      <c r="M2" s="74" t="s">
        <v>16</v>
      </c>
      <c r="N2" s="74" t="s">
        <v>17</v>
      </c>
      <c r="O2" s="74" t="s">
        <v>18</v>
      </c>
      <c r="P2" s="74" t="s">
        <v>19</v>
      </c>
      <c r="Q2" s="75" t="s">
        <v>20</v>
      </c>
    </row>
    <row r="3" spans="2:17">
      <c r="B3" s="38" t="s">
        <v>317</v>
      </c>
      <c r="C3" s="142">
        <f>'Drawdown only'!D208</f>
        <v>0.61979884810948938</v>
      </c>
      <c r="D3" s="142">
        <f>'Drawdown only'!E208</f>
        <v>1.9975293894431116</v>
      </c>
      <c r="E3" s="142">
        <f>'Drawdown only'!F208</f>
        <v>4.2384224238362247</v>
      </c>
      <c r="F3" s="142">
        <f>'Drawdown only'!G208</f>
        <v>7.1673385183504514</v>
      </c>
      <c r="G3" s="142">
        <f>'Drawdown only'!H208</f>
        <v>10.451436421562363</v>
      </c>
      <c r="H3" s="142">
        <f>'Drawdown only'!I208</f>
        <v>13.593922808910905</v>
      </c>
      <c r="I3" s="142">
        <f>'Drawdown only'!J208</f>
        <v>16.455814929547756</v>
      </c>
      <c r="J3" s="142">
        <f>'Drawdown only'!K208</f>
        <v>18.881824227438855</v>
      </c>
      <c r="K3" s="142">
        <f>'Drawdown only'!L208</f>
        <v>20.804101026757451</v>
      </c>
      <c r="L3" s="142">
        <f>'Drawdown only'!M208</f>
        <v>22.368371370023524</v>
      </c>
      <c r="M3" s="142">
        <f>'Drawdown only'!N208</f>
        <v>23.542834167685943</v>
      </c>
      <c r="N3" s="142">
        <f>'Drawdown only'!O208</f>
        <v>24.444890342596661</v>
      </c>
      <c r="O3" s="142">
        <f>'Drawdown only'!P208</f>
        <v>25.143601961027137</v>
      </c>
      <c r="P3" s="142">
        <f>'Drawdown only'!Q208</f>
        <v>25.746673158437595</v>
      </c>
      <c r="Q3" s="142">
        <f>'Drawdown only'!R208</f>
        <v>26.296311836988043</v>
      </c>
    </row>
    <row r="4" spans="2:17">
      <c r="B4" s="38" t="s">
        <v>318</v>
      </c>
      <c r="C4" s="142">
        <f>'Evergreen only'!D208</f>
        <v>10.939000000000002</v>
      </c>
      <c r="D4" s="142">
        <f>'Evergreen only'!E208</f>
        <v>11.966172100000003</v>
      </c>
      <c r="E4" s="142">
        <f>'Evergreen only'!F208</f>
        <v>13.089795660190005</v>
      </c>
      <c r="F4" s="142">
        <f>'Evergreen only'!G208</f>
        <v>14.318927472681848</v>
      </c>
      <c r="G4" s="142">
        <f>'Evergreen only'!H208</f>
        <v>15.663474762366675</v>
      </c>
      <c r="H4" s="142">
        <f>'Evergreen only'!I208</f>
        <v>17.134275042552908</v>
      </c>
      <c r="I4" s="142">
        <f>'Evergreen only'!J208</f>
        <v>18.743183469048628</v>
      </c>
      <c r="J4" s="142">
        <f>'Evergreen only'!K208</f>
        <v>20.503168396792297</v>
      </c>
      <c r="K4" s="142">
        <f>'Evergreen only'!L208</f>
        <v>22.428415909251093</v>
      </c>
      <c r="L4" s="142">
        <f>'Evergreen only'!M208</f>
        <v>24.534444163129773</v>
      </c>
      <c r="M4" s="142">
        <f>'Evergreen only'!N208</f>
        <v>26.83822847004766</v>
      </c>
      <c r="N4" s="142">
        <f>'Evergreen only'!O208</f>
        <v>29.358338123385138</v>
      </c>
      <c r="O4" s="142">
        <f>'Evergreen only'!P208</f>
        <v>32.115086073171007</v>
      </c>
      <c r="P4" s="142">
        <f>'Evergreen only'!Q208</f>
        <v>35.13069265544177</v>
      </c>
      <c r="Q4" s="142">
        <f>'Evergreen only'!R208</f>
        <v>38.42946469578775</v>
      </c>
    </row>
    <row r="5" spans="2:17">
      <c r="B5" s="38" t="s">
        <v>319</v>
      </c>
      <c r="C5" s="142">
        <f>'Drawdown+reinvestment'!D208</f>
        <v>10.600656061734579</v>
      </c>
      <c r="D5" s="142">
        <f>'Drawdown+reinvestment'!E208</f>
        <v>11.132371537977539</v>
      </c>
      <c r="E5" s="142">
        <f>'Drawdown+reinvestment'!F208</f>
        <v>11.668652390867569</v>
      </c>
      <c r="F5" s="142">
        <f>'Drawdown+reinvestment'!G208</f>
        <v>12.356558959116903</v>
      </c>
      <c r="G5" s="142">
        <f>'Drawdown+reinvestment'!H208</f>
        <v>13.459100068305805</v>
      </c>
      <c r="H5" s="142">
        <f>'Drawdown+reinvestment'!I208</f>
        <v>14.78780112732691</v>
      </c>
      <c r="I5" s="142">
        <f>'Drawdown+reinvestment'!J208</f>
        <v>16.636855749808994</v>
      </c>
      <c r="J5" s="142">
        <f>'Drawdown+reinvestment'!K208</f>
        <v>18.924891567522351</v>
      </c>
      <c r="K5" s="142">
        <f>'Drawdown+reinvestment'!L208</f>
        <v>21.502851919497125</v>
      </c>
      <c r="L5" s="142">
        <f>'Drawdown+reinvestment'!M208</f>
        <v>24.365162484958201</v>
      </c>
      <c r="M5" s="142">
        <f>'Drawdown+reinvestment'!N208</f>
        <v>27.55203958693043</v>
      </c>
      <c r="N5" s="142">
        <f>'Drawdown+reinvestment'!O208</f>
        <v>30.944749435239409</v>
      </c>
      <c r="O5" s="142">
        <f>'Drawdown+reinvestment'!P208</f>
        <v>34.569892283617229</v>
      </c>
      <c r="P5" s="142">
        <f>'Drawdown+reinvestment'!Q208</f>
        <v>38.441810391308465</v>
      </c>
      <c r="Q5" s="142">
        <f>'Drawdown+reinvestment'!R208</f>
        <v>42.613909284381542</v>
      </c>
    </row>
    <row r="6" spans="2:17">
      <c r="B6" s="38" t="s">
        <v>321</v>
      </c>
      <c r="C6" s="142">
        <f>'Drawdown+Evergreen from start'!D208</f>
        <v>10.76982803086729</v>
      </c>
      <c r="D6" s="142">
        <f>'Drawdown+Evergreen from start'!E208</f>
        <v>11.549271818988773</v>
      </c>
      <c r="E6" s="142">
        <f>'Drawdown+Evergreen from start'!F208</f>
        <v>12.379224025528787</v>
      </c>
      <c r="F6" s="142">
        <f>'Drawdown+Evergreen from start'!G208</f>
        <v>13.337743215899375</v>
      </c>
      <c r="G6" s="142">
        <f>'Drawdown+Evergreen from start'!H208</f>
        <v>14.56128741533624</v>
      </c>
      <c r="H6" s="142">
        <f>'Drawdown+Evergreen from start'!I208</f>
        <v>15.961038084939908</v>
      </c>
      <c r="I6" s="142">
        <f>'Drawdown+Evergreen from start'!J208</f>
        <v>17.690019609428813</v>
      </c>
      <c r="J6" s="142">
        <f>'Drawdown+Evergreen from start'!K208</f>
        <v>19.714029982157324</v>
      </c>
      <c r="K6" s="142">
        <f>'Drawdown+Evergreen from start'!L208</f>
        <v>21.965633914374109</v>
      </c>
      <c r="L6" s="142">
        <f>'Drawdown+Evergreen from start'!M208</f>
        <v>24.449803324043984</v>
      </c>
      <c r="M6" s="142">
        <f>'Drawdown+Evergreen from start'!N208</f>
        <v>27.195134028489047</v>
      </c>
      <c r="N6" s="142">
        <f>'Drawdown+Evergreen from start'!O208</f>
        <v>30.15154377931227</v>
      </c>
      <c r="O6" s="142">
        <f>'Drawdown+Evergreen from start'!P208</f>
        <v>33.342489178394118</v>
      </c>
      <c r="P6" s="142">
        <f>'Drawdown+Evergreen from start'!Q208</f>
        <v>36.786251523375114</v>
      </c>
      <c r="Q6" s="142">
        <f>'Drawdown+Evergreen from start'!R208</f>
        <v>40.521686990084646</v>
      </c>
    </row>
  </sheetData>
  <pageMargins left="0.7" right="0.7" top="0.75" bottom="0.75" header="0.3" footer="0.3"/>
  <customProperties>
    <customPr name="Worksheet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</sheetPr>
  <dimension ref="A1:W215"/>
  <sheetViews>
    <sheetView zoomScaleNormal="100" workbookViewId="0">
      <selection activeCell="B2" sqref="B2"/>
    </sheetView>
  </sheetViews>
  <sheetFormatPr defaultColWidth="9.140625" defaultRowHeight="11.25"/>
  <cols>
    <col min="1" max="1" width="45.42578125" style="19" customWidth="1"/>
    <col min="2" max="2" width="13.85546875" style="19" bestFit="1" customWidth="1"/>
    <col min="3" max="3" width="18.5703125" style="17" customWidth="1"/>
    <col min="4" max="4" width="13.5703125" style="17" bestFit="1" customWidth="1"/>
    <col min="5" max="5" width="14.7109375" style="17" bestFit="1" customWidth="1"/>
    <col min="6" max="6" width="15.140625" style="17" bestFit="1" customWidth="1"/>
    <col min="7" max="7" width="13.85546875" style="17" bestFit="1" customWidth="1"/>
    <col min="8" max="8" width="15.140625" style="17" bestFit="1" customWidth="1"/>
    <col min="9" max="10" width="15.42578125" style="17" bestFit="1" customWidth="1"/>
    <col min="11" max="17" width="15.42578125" style="17" customWidth="1"/>
    <col min="18" max="18" width="18.28515625" style="19" customWidth="1"/>
    <col min="19" max="16384" width="9.140625" style="3"/>
  </cols>
  <sheetData>
    <row r="1" spans="1:23">
      <c r="A1" s="7" t="s">
        <v>41</v>
      </c>
      <c r="B1" s="25">
        <v>6.4000000000000001E-2</v>
      </c>
      <c r="C1" s="1"/>
      <c r="D1" s="1"/>
      <c r="E1" s="53"/>
      <c r="F1" s="4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</row>
    <row r="2" spans="1:23">
      <c r="A2" s="1"/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</row>
    <row r="3" spans="1:23" ht="33.75">
      <c r="A3" s="2" t="s">
        <v>5</v>
      </c>
      <c r="B3" s="40" t="s">
        <v>44</v>
      </c>
      <c r="C3" s="36" t="s">
        <v>43</v>
      </c>
      <c r="D3" s="35" t="s">
        <v>4</v>
      </c>
      <c r="E3" s="35" t="s">
        <v>28</v>
      </c>
      <c r="F3" s="35" t="s">
        <v>29</v>
      </c>
      <c r="G3" s="1"/>
      <c r="H3" s="122" t="s">
        <v>303</v>
      </c>
      <c r="I3" s="123" t="s">
        <v>297</v>
      </c>
      <c r="J3" s="1"/>
      <c r="K3" s="127" t="s">
        <v>304</v>
      </c>
      <c r="L3" s="128" t="s">
        <v>305</v>
      </c>
      <c r="M3" s="1"/>
      <c r="N3" s="115" t="s">
        <v>301</v>
      </c>
      <c r="O3" s="116" t="s">
        <v>45</v>
      </c>
      <c r="P3" s="1"/>
      <c r="Q3" s="1"/>
      <c r="R3" s="1"/>
      <c r="S3" s="1"/>
      <c r="T3" s="1"/>
      <c r="U3" s="1"/>
      <c r="V3" s="1"/>
      <c r="W3" s="1"/>
    </row>
    <row r="4" spans="1:23">
      <c r="A4" s="30">
        <v>2025</v>
      </c>
      <c r="B4" s="23">
        <v>10000000</v>
      </c>
      <c r="C4" s="23">
        <v>0</v>
      </c>
      <c r="D4" s="31">
        <f>SUM(B4:C4)</f>
        <v>10000000</v>
      </c>
      <c r="E4" s="54">
        <v>1</v>
      </c>
      <c r="F4" s="1">
        <f t="shared" ref="F4:F18" si="0">D4*E4</f>
        <v>10000000</v>
      </c>
      <c r="G4" s="1"/>
      <c r="H4" s="124">
        <v>0</v>
      </c>
      <c r="I4" s="125">
        <v>0.09</v>
      </c>
      <c r="J4" s="1"/>
      <c r="K4" s="129">
        <v>0</v>
      </c>
      <c r="L4" s="130">
        <v>0.06</v>
      </c>
      <c r="M4" s="1"/>
      <c r="N4" s="117" t="s">
        <v>21</v>
      </c>
      <c r="O4" s="118">
        <v>1</v>
      </c>
      <c r="P4" s="47"/>
      <c r="Q4" s="14"/>
      <c r="R4" s="14"/>
      <c r="S4" s="14"/>
      <c r="T4" s="14"/>
      <c r="U4" s="14"/>
      <c r="V4" s="14"/>
      <c r="W4" s="14"/>
    </row>
    <row r="5" spans="1:23">
      <c r="A5" s="2">
        <f t="shared" ref="A5:A17" si="1">A4+1</f>
        <v>2026</v>
      </c>
      <c r="B5" s="26"/>
      <c r="C5" s="23"/>
      <c r="D5" s="31">
        <f>(D4*(1+$B$1))+C5</f>
        <v>10640000</v>
      </c>
      <c r="E5" s="55">
        <f>E4</f>
        <v>1</v>
      </c>
      <c r="F5" s="1">
        <f t="shared" si="0"/>
        <v>10640000</v>
      </c>
      <c r="G5" s="1"/>
      <c r="H5" s="124">
        <v>0</v>
      </c>
      <c r="I5" s="126"/>
      <c r="J5" s="1"/>
      <c r="K5" s="129">
        <v>0</v>
      </c>
      <c r="L5" s="131"/>
      <c r="M5" s="1"/>
      <c r="N5" s="117" t="s">
        <v>27</v>
      </c>
      <c r="O5" s="118">
        <v>0</v>
      </c>
      <c r="P5" s="1"/>
      <c r="Q5" s="1"/>
      <c r="R5" s="1"/>
      <c r="S5" s="1"/>
      <c r="T5" s="1"/>
      <c r="U5" s="1"/>
      <c r="V5" s="1"/>
      <c r="W5" s="1"/>
    </row>
    <row r="6" spans="1:23">
      <c r="A6" s="2">
        <f t="shared" si="1"/>
        <v>2027</v>
      </c>
      <c r="B6" s="26"/>
      <c r="C6" s="23"/>
      <c r="D6" s="31">
        <f t="shared" ref="D6:D17" si="2">(D5*(1+$B$1))+C6</f>
        <v>11320960</v>
      </c>
      <c r="E6" s="55">
        <f t="shared" ref="E6:E17" si="3">E5</f>
        <v>1</v>
      </c>
      <c r="F6" s="1">
        <f t="shared" si="0"/>
        <v>11320960</v>
      </c>
      <c r="G6" s="1"/>
      <c r="H6" s="124">
        <v>0</v>
      </c>
      <c r="I6" s="126"/>
      <c r="J6" s="1"/>
      <c r="K6" s="129">
        <v>0</v>
      </c>
      <c r="L6" s="131"/>
      <c r="M6" s="1"/>
      <c r="N6" s="117" t="s">
        <v>49</v>
      </c>
      <c r="O6" s="118">
        <v>0</v>
      </c>
      <c r="P6" s="1"/>
      <c r="Q6" s="1"/>
      <c r="R6" s="1"/>
      <c r="S6" s="1"/>
      <c r="T6" s="1"/>
      <c r="U6" s="1"/>
      <c r="V6" s="1"/>
      <c r="W6" s="1"/>
    </row>
    <row r="7" spans="1:23">
      <c r="A7" s="2">
        <f t="shared" si="1"/>
        <v>2028</v>
      </c>
      <c r="B7" s="26"/>
      <c r="C7" s="23"/>
      <c r="D7" s="31">
        <f t="shared" si="2"/>
        <v>12045501.440000001</v>
      </c>
      <c r="E7" s="55">
        <f t="shared" si="3"/>
        <v>1</v>
      </c>
      <c r="F7" s="1">
        <f t="shared" si="0"/>
        <v>12045501.440000001</v>
      </c>
      <c r="G7" s="1"/>
      <c r="H7" s="124">
        <v>0</v>
      </c>
      <c r="I7" s="126"/>
      <c r="J7" s="1"/>
      <c r="K7" s="129">
        <v>0</v>
      </c>
      <c r="L7" s="131"/>
      <c r="M7" s="1"/>
      <c r="N7" s="117" t="s">
        <v>50</v>
      </c>
      <c r="O7" s="118">
        <v>0</v>
      </c>
      <c r="P7" s="1"/>
      <c r="Q7" s="1"/>
      <c r="R7" s="1"/>
      <c r="S7" s="1"/>
      <c r="T7" s="1"/>
      <c r="U7" s="1"/>
      <c r="V7" s="1"/>
      <c r="W7" s="1"/>
    </row>
    <row r="8" spans="1:23">
      <c r="A8" s="2">
        <f t="shared" si="1"/>
        <v>2029</v>
      </c>
      <c r="B8" s="26"/>
      <c r="C8" s="23"/>
      <c r="D8" s="31">
        <f t="shared" si="2"/>
        <v>12816413.532160003</v>
      </c>
      <c r="E8" s="55">
        <f t="shared" si="3"/>
        <v>1</v>
      </c>
      <c r="F8" s="1">
        <f t="shared" si="0"/>
        <v>12816413.532160003</v>
      </c>
      <c r="G8" s="1"/>
      <c r="H8" s="124">
        <v>0</v>
      </c>
      <c r="I8" s="126"/>
      <c r="J8" s="1"/>
      <c r="K8" s="129">
        <v>0</v>
      </c>
      <c r="L8" s="131"/>
      <c r="M8" s="1"/>
      <c r="N8" s="117" t="s">
        <v>51</v>
      </c>
      <c r="O8" s="118">
        <v>0</v>
      </c>
      <c r="P8" s="1"/>
      <c r="Q8" s="1"/>
      <c r="R8" s="1"/>
      <c r="S8" s="1"/>
      <c r="T8" s="1"/>
      <c r="U8" s="1"/>
      <c r="V8" s="1"/>
      <c r="W8" s="1"/>
    </row>
    <row r="9" spans="1:23">
      <c r="A9" s="2">
        <f t="shared" si="1"/>
        <v>2030</v>
      </c>
      <c r="B9" s="26"/>
      <c r="C9" s="23"/>
      <c r="D9" s="31">
        <f t="shared" si="2"/>
        <v>13636663.998218244</v>
      </c>
      <c r="E9" s="55">
        <f t="shared" si="3"/>
        <v>1</v>
      </c>
      <c r="F9" s="1">
        <f t="shared" si="0"/>
        <v>13636663.998218244</v>
      </c>
      <c r="G9" s="1"/>
      <c r="H9" s="124">
        <v>0</v>
      </c>
      <c r="I9" s="126"/>
      <c r="J9" s="1"/>
      <c r="K9" s="129">
        <v>0</v>
      </c>
      <c r="L9" s="131"/>
      <c r="M9" s="1"/>
      <c r="N9" s="117" t="s">
        <v>40</v>
      </c>
      <c r="O9" s="118">
        <v>0</v>
      </c>
      <c r="P9" s="1"/>
      <c r="Q9" s="1"/>
      <c r="R9" s="1"/>
      <c r="S9" s="1"/>
      <c r="T9" s="1"/>
      <c r="U9" s="1"/>
      <c r="V9" s="1"/>
      <c r="W9" s="1"/>
    </row>
    <row r="10" spans="1:23">
      <c r="A10" s="2">
        <f t="shared" si="1"/>
        <v>2031</v>
      </c>
      <c r="B10" s="26"/>
      <c r="C10" s="23"/>
      <c r="D10" s="31">
        <f t="shared" si="2"/>
        <v>14509410.494104212</v>
      </c>
      <c r="E10" s="55">
        <f t="shared" si="3"/>
        <v>1</v>
      </c>
      <c r="F10" s="1">
        <f t="shared" si="0"/>
        <v>14509410.494104212</v>
      </c>
      <c r="G10" s="1"/>
      <c r="H10" s="124">
        <v>0</v>
      </c>
      <c r="I10" s="126"/>
      <c r="J10" s="1"/>
      <c r="K10" s="129">
        <v>0</v>
      </c>
      <c r="L10" s="131"/>
      <c r="M10" s="1"/>
      <c r="N10" s="117" t="s">
        <v>42</v>
      </c>
      <c r="O10" s="118">
        <v>0</v>
      </c>
      <c r="P10" s="1"/>
      <c r="Q10" s="1"/>
      <c r="R10" s="1"/>
      <c r="S10" s="1"/>
      <c r="T10" s="1"/>
      <c r="U10" s="1"/>
      <c r="V10" s="1"/>
      <c r="W10" s="1"/>
    </row>
    <row r="11" spans="1:23">
      <c r="A11" s="2">
        <f t="shared" si="1"/>
        <v>2032</v>
      </c>
      <c r="B11" s="26"/>
      <c r="C11" s="23"/>
      <c r="D11" s="31">
        <f t="shared" si="2"/>
        <v>15438012.765726883</v>
      </c>
      <c r="E11" s="55">
        <f t="shared" si="3"/>
        <v>1</v>
      </c>
      <c r="F11" s="1">
        <f t="shared" si="0"/>
        <v>15438012.765726883</v>
      </c>
      <c r="G11" s="1"/>
      <c r="H11" s="124">
        <v>0</v>
      </c>
      <c r="I11" s="126"/>
      <c r="J11" s="1"/>
      <c r="K11" s="129">
        <v>0</v>
      </c>
      <c r="L11" s="131"/>
      <c r="M11" s="1"/>
      <c r="N11" s="117"/>
      <c r="O11" s="118"/>
      <c r="P11" s="1"/>
      <c r="Q11" s="1"/>
      <c r="R11" s="1"/>
      <c r="S11" s="1"/>
      <c r="T11" s="1"/>
      <c r="U11" s="1"/>
      <c r="V11" s="1"/>
      <c r="W11" s="1"/>
    </row>
    <row r="12" spans="1:23">
      <c r="A12" s="2">
        <f t="shared" si="1"/>
        <v>2033</v>
      </c>
      <c r="B12" s="26"/>
      <c r="C12" s="23"/>
      <c r="D12" s="31">
        <f t="shared" si="2"/>
        <v>16426045.582733404</v>
      </c>
      <c r="E12" s="55">
        <f t="shared" si="3"/>
        <v>1</v>
      </c>
      <c r="F12" s="1">
        <f t="shared" si="0"/>
        <v>16426045.582733404</v>
      </c>
      <c r="G12" s="1"/>
      <c r="H12" s="124">
        <v>0</v>
      </c>
      <c r="I12" s="126"/>
      <c r="J12" s="1"/>
      <c r="K12" s="129">
        <v>0</v>
      </c>
      <c r="L12" s="131"/>
      <c r="M12" s="1"/>
      <c r="N12" s="119" t="s">
        <v>1</v>
      </c>
      <c r="O12" s="120">
        <f>SUM(O4:O10)</f>
        <v>1</v>
      </c>
      <c r="P12" s="1"/>
      <c r="Q12" s="1"/>
      <c r="R12" s="1"/>
      <c r="S12" s="1"/>
      <c r="T12" s="1"/>
      <c r="U12" s="1"/>
      <c r="V12" s="1"/>
      <c r="W12" s="1"/>
    </row>
    <row r="13" spans="1:23">
      <c r="A13" s="2">
        <f t="shared" si="1"/>
        <v>2034</v>
      </c>
      <c r="B13" s="26"/>
      <c r="C13" s="23"/>
      <c r="D13" s="31">
        <f t="shared" si="2"/>
        <v>17477312.500028342</v>
      </c>
      <c r="E13" s="55">
        <f t="shared" si="3"/>
        <v>1</v>
      </c>
      <c r="F13" s="1">
        <f t="shared" si="0"/>
        <v>17477312.500028342</v>
      </c>
      <c r="G13" s="1"/>
      <c r="H13" s="124">
        <v>0</v>
      </c>
      <c r="I13" s="126"/>
      <c r="J13" s="1"/>
      <c r="K13" s="129">
        <v>0</v>
      </c>
      <c r="L13" s="13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2">
        <f t="shared" si="1"/>
        <v>2035</v>
      </c>
      <c r="B14" s="26"/>
      <c r="C14" s="23"/>
      <c r="D14" s="31">
        <f t="shared" si="2"/>
        <v>18595860.500030156</v>
      </c>
      <c r="E14" s="55">
        <f t="shared" si="3"/>
        <v>1</v>
      </c>
      <c r="F14" s="1">
        <f t="shared" si="0"/>
        <v>18595860.500030156</v>
      </c>
      <c r="G14" s="1"/>
      <c r="H14" s="124">
        <v>0</v>
      </c>
      <c r="I14" s="126"/>
      <c r="J14" s="1"/>
      <c r="K14" s="129">
        <v>0</v>
      </c>
      <c r="L14" s="13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2">
        <f t="shared" si="1"/>
        <v>2036</v>
      </c>
      <c r="B15" s="26"/>
      <c r="C15" s="23"/>
      <c r="D15" s="31">
        <f t="shared" si="2"/>
        <v>19785995.572032087</v>
      </c>
      <c r="E15" s="55">
        <f t="shared" si="3"/>
        <v>1</v>
      </c>
      <c r="F15" s="1">
        <f t="shared" si="0"/>
        <v>19785995.572032087</v>
      </c>
      <c r="G15" s="1"/>
      <c r="H15" s="124">
        <v>0</v>
      </c>
      <c r="I15" s="126"/>
      <c r="J15" s="1"/>
      <c r="K15" s="129">
        <v>0</v>
      </c>
      <c r="L15" s="13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2">
        <f t="shared" si="1"/>
        <v>2037</v>
      </c>
      <c r="B16" s="26"/>
      <c r="C16" s="23"/>
      <c r="D16" s="31">
        <f t="shared" si="2"/>
        <v>21052299.288642142</v>
      </c>
      <c r="E16" s="55">
        <f t="shared" si="3"/>
        <v>1</v>
      </c>
      <c r="F16" s="1">
        <f t="shared" si="0"/>
        <v>21052299.288642142</v>
      </c>
      <c r="G16" s="1"/>
      <c r="H16" s="124">
        <v>0</v>
      </c>
      <c r="I16" s="126"/>
      <c r="J16" s="1"/>
      <c r="K16" s="129">
        <v>0</v>
      </c>
      <c r="L16" s="13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2">
        <f t="shared" si="1"/>
        <v>2038</v>
      </c>
      <c r="B17" s="26"/>
      <c r="C17" s="23"/>
      <c r="D17" s="31">
        <f t="shared" si="2"/>
        <v>22399646.443115242</v>
      </c>
      <c r="E17" s="55">
        <f t="shared" si="3"/>
        <v>1</v>
      </c>
      <c r="F17" s="1">
        <f t="shared" si="0"/>
        <v>22399646.443115242</v>
      </c>
      <c r="G17" s="1"/>
      <c r="H17" s="124">
        <v>0</v>
      </c>
      <c r="I17" s="126"/>
      <c r="J17" s="1"/>
      <c r="K17" s="129">
        <v>0</v>
      </c>
      <c r="L17" s="13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2">
        <f t="shared" ref="A18" si="4">A17+1</f>
        <v>2039</v>
      </c>
      <c r="B18" s="26"/>
      <c r="C18" s="23"/>
      <c r="D18" s="31">
        <f t="shared" ref="D18" si="5">(D17*(1+$B$1))+C18</f>
        <v>23833223.815474618</v>
      </c>
      <c r="E18" s="55">
        <f t="shared" ref="E18" si="6">E17</f>
        <v>1</v>
      </c>
      <c r="F18" s="1">
        <f t="shared" si="0"/>
        <v>23833223.815474618</v>
      </c>
      <c r="G18" s="1"/>
      <c r="H18" s="124">
        <v>0</v>
      </c>
      <c r="I18" s="126"/>
      <c r="J18" s="1"/>
      <c r="K18" s="129">
        <v>0</v>
      </c>
      <c r="L18" s="13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3"/>
    </row>
    <row r="20" spans="1:23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"/>
    </row>
    <row r="21" spans="1:23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"/>
    </row>
    <row r="22" spans="1:23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3"/>
    </row>
    <row r="23" spans="1:23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3"/>
    </row>
    <row r="24" spans="1:23">
      <c r="A24" s="3"/>
      <c r="B24" s="3"/>
      <c r="C24" s="1"/>
      <c r="D24" s="1"/>
      <c r="E24" s="1"/>
      <c r="F24" s="41"/>
      <c r="G24" s="50"/>
      <c r="H24" s="51"/>
      <c r="I24" s="1"/>
      <c r="J24" s="1"/>
      <c r="K24" s="1"/>
      <c r="L24" s="1"/>
      <c r="M24" s="1"/>
      <c r="N24" s="1"/>
      <c r="O24" s="1"/>
      <c r="P24" s="1"/>
      <c r="Q24" s="1"/>
      <c r="R24" s="3"/>
    </row>
    <row r="25" spans="1:23">
      <c r="A25" s="3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"/>
    </row>
    <row r="26" spans="1:23">
      <c r="A26" s="3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"/>
    </row>
    <row r="27" spans="1:23">
      <c r="A27" s="132" t="s">
        <v>62</v>
      </c>
      <c r="B27" s="121" t="s">
        <v>302</v>
      </c>
      <c r="C27" s="114"/>
      <c r="D27" s="39" t="s">
        <v>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23" s="45" customFormat="1" ht="22.5">
      <c r="A28" s="42" t="s">
        <v>30</v>
      </c>
      <c r="B28" s="43" t="s">
        <v>0</v>
      </c>
      <c r="C28" s="44" t="s">
        <v>46</v>
      </c>
      <c r="D28" s="48">
        <v>2025</v>
      </c>
      <c r="E28" s="42">
        <f>D28+1</f>
        <v>2026</v>
      </c>
      <c r="F28" s="42">
        <f t="shared" ref="F28" si="7">E28+1</f>
        <v>2027</v>
      </c>
      <c r="G28" s="42">
        <f t="shared" ref="G28" si="8">F28+1</f>
        <v>2028</v>
      </c>
      <c r="H28" s="42">
        <f t="shared" ref="H28" si="9">G28+1</f>
        <v>2029</v>
      </c>
      <c r="I28" s="42">
        <f t="shared" ref="I28" si="10">H28+1</f>
        <v>2030</v>
      </c>
      <c r="J28" s="42">
        <f t="shared" ref="J28" si="11">I28+1</f>
        <v>2031</v>
      </c>
      <c r="K28" s="42">
        <f t="shared" ref="K28" si="12">J28+1</f>
        <v>2032</v>
      </c>
      <c r="L28" s="42">
        <f t="shared" ref="L28" si="13">K28+1</f>
        <v>2033</v>
      </c>
      <c r="M28" s="42">
        <f t="shared" ref="M28" si="14">L28+1</f>
        <v>2034</v>
      </c>
      <c r="N28" s="42">
        <f t="shared" ref="N28" si="15">M28+1</f>
        <v>2035</v>
      </c>
      <c r="O28" s="42">
        <f t="shared" ref="O28" si="16">N28+1</f>
        <v>2036</v>
      </c>
      <c r="P28" s="42">
        <f t="shared" ref="P28" si="17">O28+1</f>
        <v>2037</v>
      </c>
      <c r="Q28" s="42">
        <f t="shared" ref="Q28" si="18">P28+1</f>
        <v>2038</v>
      </c>
      <c r="R28" s="42">
        <f t="shared" ref="R28" si="19">Q28+1</f>
        <v>2039</v>
      </c>
    </row>
    <row r="29" spans="1:23">
      <c r="R29" s="17"/>
    </row>
    <row r="30" spans="1:23">
      <c r="A30" s="21"/>
      <c r="B30" s="23">
        <v>0</v>
      </c>
      <c r="C30" s="20"/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</row>
    <row r="31" spans="1:23">
      <c r="R31" s="17"/>
    </row>
    <row r="32" spans="1:23">
      <c r="C32" s="57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</row>
    <row r="33" spans="1:18">
      <c r="C33" s="39"/>
      <c r="D33" s="39" t="s">
        <v>38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15" t="s">
        <v>30</v>
      </c>
      <c r="B34" s="16" t="s">
        <v>0</v>
      </c>
      <c r="C34" s="15"/>
      <c r="D34" s="15">
        <f t="shared" ref="D34:R34" si="20">D$100</f>
        <v>2025</v>
      </c>
      <c r="E34" s="15">
        <f t="shared" si="20"/>
        <v>2026</v>
      </c>
      <c r="F34" s="15">
        <f t="shared" si="20"/>
        <v>2027</v>
      </c>
      <c r="G34" s="15">
        <f t="shared" si="20"/>
        <v>2028</v>
      </c>
      <c r="H34" s="15">
        <f t="shared" si="20"/>
        <v>2029</v>
      </c>
      <c r="I34" s="15">
        <f t="shared" si="20"/>
        <v>2030</v>
      </c>
      <c r="J34" s="15">
        <f t="shared" si="20"/>
        <v>2031</v>
      </c>
      <c r="K34" s="15">
        <f t="shared" si="20"/>
        <v>2032</v>
      </c>
      <c r="L34" s="15">
        <f t="shared" si="20"/>
        <v>2033</v>
      </c>
      <c r="M34" s="15">
        <f t="shared" si="20"/>
        <v>2034</v>
      </c>
      <c r="N34" s="15">
        <f t="shared" si="20"/>
        <v>2035</v>
      </c>
      <c r="O34" s="15">
        <f t="shared" si="20"/>
        <v>2036</v>
      </c>
      <c r="P34" s="15">
        <f t="shared" si="20"/>
        <v>2037</v>
      </c>
      <c r="Q34" s="15">
        <f t="shared" si="20"/>
        <v>2038</v>
      </c>
      <c r="R34" s="15">
        <f t="shared" si="20"/>
        <v>2039</v>
      </c>
    </row>
    <row r="35" spans="1:18">
      <c r="A35" s="15"/>
      <c r="B35" s="1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>
      <c r="A36" s="21"/>
      <c r="B36" s="64">
        <v>0</v>
      </c>
      <c r="C36" s="20"/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</row>
    <row r="37" spans="1:18">
      <c r="A37" s="2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>
      <c r="C38" s="39"/>
      <c r="D38" s="39" t="s">
        <v>39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15" t="s">
        <v>30</v>
      </c>
      <c r="B39" s="16" t="s">
        <v>0</v>
      </c>
      <c r="C39" s="15"/>
      <c r="D39" s="15">
        <f t="shared" ref="D39:R39" si="21">D$100</f>
        <v>2025</v>
      </c>
      <c r="E39" s="15">
        <f t="shared" si="21"/>
        <v>2026</v>
      </c>
      <c r="F39" s="15">
        <f t="shared" si="21"/>
        <v>2027</v>
      </c>
      <c r="G39" s="15">
        <f t="shared" si="21"/>
        <v>2028</v>
      </c>
      <c r="H39" s="15">
        <f t="shared" si="21"/>
        <v>2029</v>
      </c>
      <c r="I39" s="15">
        <f t="shared" si="21"/>
        <v>2030</v>
      </c>
      <c r="J39" s="15">
        <f t="shared" si="21"/>
        <v>2031</v>
      </c>
      <c r="K39" s="15">
        <f t="shared" si="21"/>
        <v>2032</v>
      </c>
      <c r="L39" s="15">
        <f t="shared" si="21"/>
        <v>2033</v>
      </c>
      <c r="M39" s="15">
        <f t="shared" si="21"/>
        <v>2034</v>
      </c>
      <c r="N39" s="15">
        <f t="shared" si="21"/>
        <v>2035</v>
      </c>
      <c r="O39" s="15">
        <f t="shared" si="21"/>
        <v>2036</v>
      </c>
      <c r="P39" s="15">
        <f t="shared" si="21"/>
        <v>2037</v>
      </c>
      <c r="Q39" s="15">
        <f t="shared" si="21"/>
        <v>2038</v>
      </c>
      <c r="R39" s="15">
        <f t="shared" si="21"/>
        <v>2039</v>
      </c>
    </row>
    <row r="40" spans="1:18">
      <c r="R40" s="17"/>
    </row>
    <row r="41" spans="1:18">
      <c r="A41" s="21"/>
      <c r="B41" s="64">
        <v>0</v>
      </c>
      <c r="C41" s="20"/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</row>
    <row r="42" spans="1:18">
      <c r="R42" s="17"/>
    </row>
    <row r="43" spans="1:18">
      <c r="C43" s="39"/>
      <c r="D43" s="39" t="s">
        <v>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15" t="s">
        <v>30</v>
      </c>
      <c r="B44" s="16" t="s">
        <v>0</v>
      </c>
      <c r="C44" s="15"/>
      <c r="D44" s="15">
        <f t="shared" ref="D44:R44" si="22">D$100</f>
        <v>2025</v>
      </c>
      <c r="E44" s="15">
        <f t="shared" si="22"/>
        <v>2026</v>
      </c>
      <c r="F44" s="15">
        <f t="shared" si="22"/>
        <v>2027</v>
      </c>
      <c r="G44" s="15">
        <f t="shared" si="22"/>
        <v>2028</v>
      </c>
      <c r="H44" s="15">
        <f t="shared" si="22"/>
        <v>2029</v>
      </c>
      <c r="I44" s="15">
        <f t="shared" si="22"/>
        <v>2030</v>
      </c>
      <c r="J44" s="15">
        <f t="shared" si="22"/>
        <v>2031</v>
      </c>
      <c r="K44" s="15">
        <f t="shared" si="22"/>
        <v>2032</v>
      </c>
      <c r="L44" s="15">
        <f t="shared" si="22"/>
        <v>2033</v>
      </c>
      <c r="M44" s="15">
        <f t="shared" si="22"/>
        <v>2034</v>
      </c>
      <c r="N44" s="15">
        <f t="shared" si="22"/>
        <v>2035</v>
      </c>
      <c r="O44" s="15">
        <f t="shared" si="22"/>
        <v>2036</v>
      </c>
      <c r="P44" s="15">
        <f t="shared" si="22"/>
        <v>2037</v>
      </c>
      <c r="Q44" s="15">
        <f t="shared" si="22"/>
        <v>2038</v>
      </c>
      <c r="R44" s="15">
        <f t="shared" si="22"/>
        <v>2039</v>
      </c>
    </row>
    <row r="45" spans="1:18">
      <c r="R45" s="17"/>
    </row>
    <row r="46" spans="1:18">
      <c r="A46" s="21"/>
      <c r="B46" s="64">
        <v>0</v>
      </c>
      <c r="C46" s="20"/>
      <c r="D46" s="63">
        <f>D36+D41</f>
        <v>0</v>
      </c>
      <c r="E46" s="63">
        <f>E36+E41</f>
        <v>0</v>
      </c>
      <c r="F46" s="63">
        <f t="shared" ref="F46:R46" si="23">F36+F41</f>
        <v>0</v>
      </c>
      <c r="G46" s="63">
        <f t="shared" si="23"/>
        <v>0</v>
      </c>
      <c r="H46" s="63">
        <f t="shared" si="23"/>
        <v>0</v>
      </c>
      <c r="I46" s="63">
        <f t="shared" si="23"/>
        <v>0</v>
      </c>
      <c r="J46" s="63">
        <f t="shared" si="23"/>
        <v>0</v>
      </c>
      <c r="K46" s="63">
        <f t="shared" si="23"/>
        <v>0</v>
      </c>
      <c r="L46" s="63">
        <f t="shared" si="23"/>
        <v>0</v>
      </c>
      <c r="M46" s="63">
        <f t="shared" si="23"/>
        <v>0</v>
      </c>
      <c r="N46" s="63">
        <f t="shared" si="23"/>
        <v>0</v>
      </c>
      <c r="O46" s="63">
        <f t="shared" si="23"/>
        <v>0</v>
      </c>
      <c r="P46" s="63">
        <f t="shared" si="23"/>
        <v>0</v>
      </c>
      <c r="Q46" s="63">
        <f t="shared" si="23"/>
        <v>0</v>
      </c>
      <c r="R46" s="63">
        <f t="shared" si="23"/>
        <v>0</v>
      </c>
    </row>
    <row r="47" spans="1:18">
      <c r="A47" s="21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</row>
    <row r="48" spans="1:18">
      <c r="R48" s="17"/>
    </row>
    <row r="49" spans="1:18">
      <c r="A49" s="21" t="s">
        <v>37</v>
      </c>
      <c r="C49" s="20"/>
      <c r="D49" s="20">
        <f>D46</f>
        <v>0</v>
      </c>
      <c r="E49" s="20">
        <f>D49+E46</f>
        <v>0</v>
      </c>
      <c r="F49" s="20">
        <f>E49+F46</f>
        <v>0</v>
      </c>
      <c r="G49" s="20">
        <f>F49+G46</f>
        <v>0</v>
      </c>
      <c r="H49" s="20">
        <f>G49+H46</f>
        <v>0</v>
      </c>
      <c r="I49" s="20">
        <f t="shared" ref="I49:R49" si="24">H49+I46</f>
        <v>0</v>
      </c>
      <c r="J49" s="20">
        <f t="shared" si="24"/>
        <v>0</v>
      </c>
      <c r="K49" s="20">
        <f t="shared" si="24"/>
        <v>0</v>
      </c>
      <c r="L49" s="20">
        <f t="shared" si="24"/>
        <v>0</v>
      </c>
      <c r="M49" s="20">
        <f t="shared" si="24"/>
        <v>0</v>
      </c>
      <c r="N49" s="20">
        <f t="shared" si="24"/>
        <v>0</v>
      </c>
      <c r="O49" s="20">
        <f t="shared" si="24"/>
        <v>0</v>
      </c>
      <c r="P49" s="20">
        <f t="shared" si="24"/>
        <v>0</v>
      </c>
      <c r="Q49" s="20">
        <f t="shared" si="24"/>
        <v>0</v>
      </c>
      <c r="R49" s="20">
        <f t="shared" si="24"/>
        <v>0</v>
      </c>
    </row>
    <row r="50" spans="1:18">
      <c r="A50" s="3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3"/>
    </row>
    <row r="51" spans="1:18">
      <c r="A51" s="133" t="s">
        <v>320</v>
      </c>
      <c r="B51" s="3"/>
      <c r="C51" s="3"/>
      <c r="D51" s="39" t="s">
        <v>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s="45" customFormat="1" ht="22.5">
      <c r="A52" s="42" t="s">
        <v>30</v>
      </c>
      <c r="B52" s="43" t="s">
        <v>0</v>
      </c>
      <c r="C52" s="44" t="s">
        <v>46</v>
      </c>
      <c r="D52" s="48">
        <v>2025</v>
      </c>
      <c r="E52" s="42">
        <f>D52+1</f>
        <v>2026</v>
      </c>
      <c r="F52" s="42">
        <f t="shared" ref="F52" si="25">E52+1</f>
        <v>2027</v>
      </c>
      <c r="G52" s="42">
        <f t="shared" ref="G52" si="26">F52+1</f>
        <v>2028</v>
      </c>
      <c r="H52" s="42">
        <f t="shared" ref="H52" si="27">G52+1</f>
        <v>2029</v>
      </c>
      <c r="I52" s="42">
        <f t="shared" ref="I52" si="28">H52+1</f>
        <v>2030</v>
      </c>
      <c r="J52" s="42">
        <f t="shared" ref="J52" si="29">I52+1</f>
        <v>2031</v>
      </c>
      <c r="K52" s="42">
        <f t="shared" ref="K52" si="30">J52+1</f>
        <v>2032</v>
      </c>
      <c r="L52" s="42">
        <f t="shared" ref="L52" si="31">K52+1</f>
        <v>2033</v>
      </c>
      <c r="M52" s="42">
        <f t="shared" ref="M52" si="32">L52+1</f>
        <v>2034</v>
      </c>
      <c r="N52" s="42">
        <f t="shared" ref="N52" si="33">M52+1</f>
        <v>2035</v>
      </c>
      <c r="O52" s="42">
        <f t="shared" ref="O52" si="34">N52+1</f>
        <v>2036</v>
      </c>
      <c r="P52" s="42">
        <f t="shared" ref="P52" si="35">O52+1</f>
        <v>2037</v>
      </c>
      <c r="Q52" s="42">
        <f t="shared" ref="Q52" si="36">P52+1</f>
        <v>2038</v>
      </c>
      <c r="R52" s="42">
        <f t="shared" ref="R52" si="37">Q52+1</f>
        <v>2039</v>
      </c>
    </row>
    <row r="53" spans="1:18">
      <c r="R53" s="17"/>
    </row>
    <row r="54" spans="1:18">
      <c r="A54" s="21"/>
      <c r="B54" s="23">
        <f>SUM(K4:K18)</f>
        <v>0</v>
      </c>
      <c r="C54" s="20">
        <f>B4</f>
        <v>10000000</v>
      </c>
      <c r="D54" s="64">
        <f>$K4</f>
        <v>0</v>
      </c>
      <c r="E54" s="64">
        <f>K4+K5</f>
        <v>0</v>
      </c>
      <c r="F54" s="64">
        <f>K4+K6+K5</f>
        <v>0</v>
      </c>
      <c r="G54" s="64">
        <f>K4+K5+K6+K7</f>
        <v>0</v>
      </c>
      <c r="H54" s="64">
        <f>K4+K5+K6+K7+K8</f>
        <v>0</v>
      </c>
      <c r="I54" s="64">
        <f>K4+K5+K6+K7+K8+K9</f>
        <v>0</v>
      </c>
      <c r="J54" s="64">
        <f>K4+K5+K6+K7+K8+K9+K10</f>
        <v>0</v>
      </c>
      <c r="K54" s="64">
        <f>K4+K5+K6+K7+K8+K9+K10+K11</f>
        <v>0</v>
      </c>
      <c r="L54" s="64">
        <f>K4+K5+K6+K7+K8+K9+K10+K11+K12</f>
        <v>0</v>
      </c>
      <c r="M54" s="64">
        <f>K4+K5+K6+K7+K8+K9+K10+K11+K12+K13</f>
        <v>0</v>
      </c>
      <c r="N54" s="64">
        <f>K4+K5+K6+K7+K8+K9+K10+K11+K12+K13+K14</f>
        <v>0</v>
      </c>
      <c r="O54" s="64">
        <f>K4+K5+K6+K7+K8+K9+K10+K11+K12+K13+K14+K15</f>
        <v>0</v>
      </c>
      <c r="P54" s="64">
        <f>K4+K5+K6+K7+K8+K9+K10+K11+K12+K13+K14+K15+K16</f>
        <v>0</v>
      </c>
      <c r="Q54" s="64">
        <f>K4+K5+K6+K7+K8+K9+K10+K11+K12+K13+K14+K15+K16+K17</f>
        <v>0</v>
      </c>
      <c r="R54" s="64">
        <f>K4+K5+K6+K7+K8+K9+K10+K11+K12+K13+K14+K15+K16+K17+K18</f>
        <v>0</v>
      </c>
    </row>
    <row r="55" spans="1:18">
      <c r="R55" s="17"/>
    </row>
    <row r="56" spans="1:18">
      <c r="C56" s="57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</row>
    <row r="57" spans="1:18">
      <c r="C57" s="39"/>
      <c r="D57" s="39" t="s">
        <v>38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15" t="s">
        <v>30</v>
      </c>
      <c r="B58" s="16" t="s">
        <v>0</v>
      </c>
      <c r="C58" s="15"/>
      <c r="D58" s="15">
        <f t="shared" ref="D58:R58" si="38">D$100</f>
        <v>2025</v>
      </c>
      <c r="E58" s="15">
        <f t="shared" si="38"/>
        <v>2026</v>
      </c>
      <c r="F58" s="15">
        <f t="shared" si="38"/>
        <v>2027</v>
      </c>
      <c r="G58" s="15">
        <f t="shared" si="38"/>
        <v>2028</v>
      </c>
      <c r="H58" s="15">
        <f t="shared" si="38"/>
        <v>2029</v>
      </c>
      <c r="I58" s="15">
        <f t="shared" si="38"/>
        <v>2030</v>
      </c>
      <c r="J58" s="15">
        <f t="shared" si="38"/>
        <v>2031</v>
      </c>
      <c r="K58" s="15">
        <f t="shared" si="38"/>
        <v>2032</v>
      </c>
      <c r="L58" s="15">
        <f t="shared" si="38"/>
        <v>2033</v>
      </c>
      <c r="M58" s="15">
        <f t="shared" si="38"/>
        <v>2034</v>
      </c>
      <c r="N58" s="15">
        <f t="shared" si="38"/>
        <v>2035</v>
      </c>
      <c r="O58" s="15">
        <f t="shared" si="38"/>
        <v>2036</v>
      </c>
      <c r="P58" s="15">
        <f t="shared" si="38"/>
        <v>2037</v>
      </c>
      <c r="Q58" s="15">
        <f t="shared" si="38"/>
        <v>2038</v>
      </c>
      <c r="R58" s="15">
        <f t="shared" si="38"/>
        <v>2039</v>
      </c>
    </row>
    <row r="59" spans="1:18">
      <c r="A59" s="15"/>
      <c r="B59" s="16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8">
      <c r="A60" s="21"/>
      <c r="B60" s="23">
        <f>SUM(K4:K18)</f>
        <v>0</v>
      </c>
      <c r="C60" s="20"/>
      <c r="D60" s="64">
        <f>-K4</f>
        <v>0</v>
      </c>
      <c r="E60" s="64">
        <f>-$K5</f>
        <v>0</v>
      </c>
      <c r="F60" s="64">
        <f>-$K6</f>
        <v>0</v>
      </c>
      <c r="G60" s="64">
        <f>-$K7</f>
        <v>0</v>
      </c>
      <c r="H60" s="64">
        <f>-$K8</f>
        <v>0</v>
      </c>
      <c r="I60" s="64">
        <f>-$K9</f>
        <v>0</v>
      </c>
      <c r="J60" s="64">
        <f>-$K10</f>
        <v>0</v>
      </c>
      <c r="K60" s="64">
        <f>-$K11</f>
        <v>0</v>
      </c>
      <c r="L60" s="64">
        <f>-$K12</f>
        <v>0</v>
      </c>
      <c r="M60" s="64">
        <f>-$K13</f>
        <v>0</v>
      </c>
      <c r="N60" s="64">
        <f>-$K14</f>
        <v>0</v>
      </c>
      <c r="O60" s="64">
        <f>-$K15</f>
        <v>0</v>
      </c>
      <c r="P60" s="64">
        <f>-$K16</f>
        <v>0</v>
      </c>
      <c r="Q60" s="64">
        <f>-$K17</f>
        <v>0</v>
      </c>
      <c r="R60" s="64">
        <f>-$K18</f>
        <v>0</v>
      </c>
    </row>
    <row r="61" spans="1:18">
      <c r="A61" s="21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18">
      <c r="C62" s="39"/>
      <c r="D62" s="39" t="s">
        <v>39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15" t="s">
        <v>30</v>
      </c>
      <c r="B63" s="16" t="s">
        <v>0</v>
      </c>
      <c r="C63" s="15"/>
      <c r="D63" s="15">
        <f t="shared" ref="D63:R63" si="39">D$100</f>
        <v>2025</v>
      </c>
      <c r="E63" s="15">
        <f t="shared" si="39"/>
        <v>2026</v>
      </c>
      <c r="F63" s="15">
        <f t="shared" si="39"/>
        <v>2027</v>
      </c>
      <c r="G63" s="15">
        <f t="shared" si="39"/>
        <v>2028</v>
      </c>
      <c r="H63" s="15">
        <f t="shared" si="39"/>
        <v>2029</v>
      </c>
      <c r="I63" s="15">
        <f t="shared" si="39"/>
        <v>2030</v>
      </c>
      <c r="J63" s="15">
        <f t="shared" si="39"/>
        <v>2031</v>
      </c>
      <c r="K63" s="15">
        <f t="shared" si="39"/>
        <v>2032</v>
      </c>
      <c r="L63" s="15">
        <f t="shared" si="39"/>
        <v>2033</v>
      </c>
      <c r="M63" s="15">
        <f t="shared" si="39"/>
        <v>2034</v>
      </c>
      <c r="N63" s="15">
        <f t="shared" si="39"/>
        <v>2035</v>
      </c>
      <c r="O63" s="15">
        <f t="shared" si="39"/>
        <v>2036</v>
      </c>
      <c r="P63" s="15">
        <f t="shared" si="39"/>
        <v>2037</v>
      </c>
      <c r="Q63" s="15">
        <f t="shared" si="39"/>
        <v>2038</v>
      </c>
      <c r="R63" s="15">
        <f t="shared" si="39"/>
        <v>2039</v>
      </c>
    </row>
    <row r="64" spans="1:18">
      <c r="R64" s="17"/>
    </row>
    <row r="65" spans="1:18">
      <c r="A65" s="21"/>
      <c r="B65" s="23">
        <f>SUM(K4:K18)</f>
        <v>0</v>
      </c>
      <c r="C65" s="20"/>
      <c r="D65" s="17">
        <f>K4*$L$4</f>
        <v>0</v>
      </c>
      <c r="E65" s="17">
        <f>SUM($K4:$K5)*$L$4</f>
        <v>0</v>
      </c>
      <c r="F65" s="17">
        <f>SUM($K4:$K6)*$L$4</f>
        <v>0</v>
      </c>
      <c r="G65" s="17">
        <f>SUM($K4:$K7)*$L$4</f>
        <v>0</v>
      </c>
      <c r="H65" s="17">
        <f>SUM($K4:$K8)*$L$4</f>
        <v>0</v>
      </c>
      <c r="I65" s="17">
        <f>SUM($K4:$K9)*$L$4</f>
        <v>0</v>
      </c>
      <c r="J65" s="17">
        <f>SUM($K4:$K10)*$L$4</f>
        <v>0</v>
      </c>
      <c r="K65" s="17">
        <f>SUM($K4:$K11)*$L$4</f>
        <v>0</v>
      </c>
      <c r="L65" s="17">
        <f>SUM($K4:$K12)*$L$4</f>
        <v>0</v>
      </c>
      <c r="M65" s="17">
        <f>SUM($K4:$K13)*$L$4</f>
        <v>0</v>
      </c>
      <c r="N65" s="17">
        <f>SUM($K4:$K14)*$L$4</f>
        <v>0</v>
      </c>
      <c r="O65" s="17">
        <f>SUM($K4:$K15)*$L$4</f>
        <v>0</v>
      </c>
      <c r="P65" s="17">
        <f>SUM($K4:$K16)*$L$4</f>
        <v>0</v>
      </c>
      <c r="Q65" s="17">
        <f>SUM($K4:$K17)*$L$4</f>
        <v>0</v>
      </c>
      <c r="R65" s="17">
        <f>SUM($K4:$K18)*$L$4</f>
        <v>0</v>
      </c>
    </row>
    <row r="66" spans="1:18">
      <c r="R66" s="17"/>
    </row>
    <row r="67" spans="1:18">
      <c r="C67" s="39"/>
      <c r="D67" s="39" t="s">
        <v>2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15" t="s">
        <v>30</v>
      </c>
      <c r="B68" s="16" t="s">
        <v>0</v>
      </c>
      <c r="C68" s="15"/>
      <c r="D68" s="15">
        <f t="shared" ref="D68:R68" si="40">D$100</f>
        <v>2025</v>
      </c>
      <c r="E68" s="15">
        <f t="shared" si="40"/>
        <v>2026</v>
      </c>
      <c r="F68" s="15">
        <f t="shared" si="40"/>
        <v>2027</v>
      </c>
      <c r="G68" s="15">
        <f t="shared" si="40"/>
        <v>2028</v>
      </c>
      <c r="H68" s="15">
        <f t="shared" si="40"/>
        <v>2029</v>
      </c>
      <c r="I68" s="15">
        <f t="shared" si="40"/>
        <v>2030</v>
      </c>
      <c r="J68" s="15">
        <f t="shared" si="40"/>
        <v>2031</v>
      </c>
      <c r="K68" s="15">
        <f t="shared" si="40"/>
        <v>2032</v>
      </c>
      <c r="L68" s="15">
        <f t="shared" si="40"/>
        <v>2033</v>
      </c>
      <c r="M68" s="15">
        <f t="shared" si="40"/>
        <v>2034</v>
      </c>
      <c r="N68" s="15">
        <f t="shared" si="40"/>
        <v>2035</v>
      </c>
      <c r="O68" s="15">
        <f t="shared" si="40"/>
        <v>2036</v>
      </c>
      <c r="P68" s="15">
        <f t="shared" si="40"/>
        <v>2037</v>
      </c>
      <c r="Q68" s="15">
        <f t="shared" si="40"/>
        <v>2038</v>
      </c>
      <c r="R68" s="15">
        <f t="shared" si="40"/>
        <v>2039</v>
      </c>
    </row>
    <row r="69" spans="1:18">
      <c r="R69" s="17"/>
    </row>
    <row r="70" spans="1:18">
      <c r="A70" s="21"/>
      <c r="B70" s="23">
        <f>SUM(K4:K18)</f>
        <v>0</v>
      </c>
      <c r="C70" s="20"/>
      <c r="D70" s="63">
        <f>D60+D65</f>
        <v>0</v>
      </c>
      <c r="E70" s="63">
        <f t="shared" ref="E70:R70" si="41">E60+E65</f>
        <v>0</v>
      </c>
      <c r="F70" s="63">
        <f t="shared" si="41"/>
        <v>0</v>
      </c>
      <c r="G70" s="63">
        <f t="shared" si="41"/>
        <v>0</v>
      </c>
      <c r="H70" s="63">
        <f t="shared" si="41"/>
        <v>0</v>
      </c>
      <c r="I70" s="63">
        <f t="shared" si="41"/>
        <v>0</v>
      </c>
      <c r="J70" s="63">
        <f t="shared" si="41"/>
        <v>0</v>
      </c>
      <c r="K70" s="63">
        <f t="shared" si="41"/>
        <v>0</v>
      </c>
      <c r="L70" s="63">
        <f t="shared" si="41"/>
        <v>0</v>
      </c>
      <c r="M70" s="63">
        <f t="shared" si="41"/>
        <v>0</v>
      </c>
      <c r="N70" s="63">
        <f t="shared" si="41"/>
        <v>0</v>
      </c>
      <c r="O70" s="63">
        <f t="shared" si="41"/>
        <v>0</v>
      </c>
      <c r="P70" s="63">
        <f t="shared" si="41"/>
        <v>0</v>
      </c>
      <c r="Q70" s="63">
        <f t="shared" si="41"/>
        <v>0</v>
      </c>
      <c r="R70" s="63">
        <f t="shared" si="41"/>
        <v>0</v>
      </c>
    </row>
    <row r="71" spans="1:18">
      <c r="A71" s="21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1:18">
      <c r="R72" s="17"/>
    </row>
    <row r="73" spans="1:18">
      <c r="A73" s="21" t="s">
        <v>37</v>
      </c>
      <c r="C73" s="20"/>
      <c r="D73" s="20">
        <f>D70</f>
        <v>0</v>
      </c>
      <c r="E73" s="20">
        <f>D73+E70</f>
        <v>0</v>
      </c>
      <c r="F73" s="20">
        <f>E73+F70</f>
        <v>0</v>
      </c>
      <c r="G73" s="20">
        <f>F73+G70</f>
        <v>0</v>
      </c>
      <c r="H73" s="20">
        <f>G73+H70</f>
        <v>0</v>
      </c>
      <c r="I73" s="20">
        <f t="shared" ref="I73:R73" si="42">H73+I70</f>
        <v>0</v>
      </c>
      <c r="J73" s="20">
        <f t="shared" si="42"/>
        <v>0</v>
      </c>
      <c r="K73" s="20">
        <f t="shared" si="42"/>
        <v>0</v>
      </c>
      <c r="L73" s="20">
        <f t="shared" si="42"/>
        <v>0</v>
      </c>
      <c r="M73" s="20">
        <f t="shared" si="42"/>
        <v>0</v>
      </c>
      <c r="N73" s="20">
        <f t="shared" si="42"/>
        <v>0</v>
      </c>
      <c r="O73" s="20">
        <f t="shared" si="42"/>
        <v>0</v>
      </c>
      <c r="P73" s="20">
        <f t="shared" si="42"/>
        <v>0</v>
      </c>
      <c r="Q73" s="20">
        <f t="shared" si="42"/>
        <v>0</v>
      </c>
      <c r="R73" s="20">
        <f t="shared" si="42"/>
        <v>0</v>
      </c>
    </row>
    <row r="74" spans="1:18">
      <c r="A74" s="3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3"/>
    </row>
    <row r="75" spans="1:18">
      <c r="A75" s="134" t="s">
        <v>299</v>
      </c>
      <c r="B75" s="3"/>
      <c r="C75" s="3"/>
      <c r="D75" s="39" t="s">
        <v>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s="45" customFormat="1" ht="22.5">
      <c r="A76" s="42" t="s">
        <v>30</v>
      </c>
      <c r="B76" s="43" t="s">
        <v>0</v>
      </c>
      <c r="C76" s="44" t="s">
        <v>46</v>
      </c>
      <c r="D76" s="48">
        <v>2025</v>
      </c>
      <c r="E76" s="42">
        <f>D76+1</f>
        <v>2026</v>
      </c>
      <c r="F76" s="42">
        <f t="shared" ref="F76" si="43">E76+1</f>
        <v>2027</v>
      </c>
      <c r="G76" s="42">
        <f t="shared" ref="G76" si="44">F76+1</f>
        <v>2028</v>
      </c>
      <c r="H76" s="42">
        <f t="shared" ref="H76" si="45">G76+1</f>
        <v>2029</v>
      </c>
      <c r="I76" s="42">
        <f t="shared" ref="I76" si="46">H76+1</f>
        <v>2030</v>
      </c>
      <c r="J76" s="42">
        <f t="shared" ref="J76" si="47">I76+1</f>
        <v>2031</v>
      </c>
      <c r="K76" s="42">
        <f t="shared" ref="K76" si="48">J76+1</f>
        <v>2032</v>
      </c>
      <c r="L76" s="42">
        <f t="shared" ref="L76" si="49">K76+1</f>
        <v>2033</v>
      </c>
      <c r="M76" s="42">
        <f t="shared" ref="M76" si="50">L76+1</f>
        <v>2034</v>
      </c>
      <c r="N76" s="42">
        <f t="shared" ref="N76" si="51">M76+1</f>
        <v>2035</v>
      </c>
      <c r="O76" s="42">
        <f t="shared" ref="O76" si="52">N76+1</f>
        <v>2036</v>
      </c>
      <c r="P76" s="42">
        <f t="shared" ref="P76" si="53">O76+1</f>
        <v>2037</v>
      </c>
      <c r="Q76" s="42">
        <f t="shared" ref="Q76" si="54">P76+1</f>
        <v>2038</v>
      </c>
      <c r="R76" s="42">
        <f t="shared" ref="R76" si="55">Q76+1</f>
        <v>2039</v>
      </c>
    </row>
    <row r="77" spans="1:18">
      <c r="R77" s="17"/>
    </row>
    <row r="78" spans="1:18">
      <c r="A78" s="21"/>
      <c r="B78" s="23">
        <f>SUM(H4:H18)</f>
        <v>0</v>
      </c>
      <c r="C78" s="20"/>
      <c r="D78" s="64">
        <f>H4*(1+$I$4)</f>
        <v>0</v>
      </c>
      <c r="E78" s="64">
        <f t="shared" ref="E78:R78" si="56">D78*(1+$I$4)+E$84*(1+$I$4)</f>
        <v>0</v>
      </c>
      <c r="F78" s="64">
        <f t="shared" si="56"/>
        <v>0</v>
      </c>
      <c r="G78" s="64">
        <f t="shared" si="56"/>
        <v>0</v>
      </c>
      <c r="H78" s="64">
        <f t="shared" si="56"/>
        <v>0</v>
      </c>
      <c r="I78" s="64">
        <f t="shared" si="56"/>
        <v>0</v>
      </c>
      <c r="J78" s="64">
        <f t="shared" si="56"/>
        <v>0</v>
      </c>
      <c r="K78" s="64">
        <f t="shared" si="56"/>
        <v>0</v>
      </c>
      <c r="L78" s="64">
        <f t="shared" si="56"/>
        <v>0</v>
      </c>
      <c r="M78" s="64">
        <f t="shared" si="56"/>
        <v>0</v>
      </c>
      <c r="N78" s="64">
        <f t="shared" si="56"/>
        <v>0</v>
      </c>
      <c r="O78" s="64">
        <f t="shared" si="56"/>
        <v>0</v>
      </c>
      <c r="P78" s="64">
        <f t="shared" si="56"/>
        <v>0</v>
      </c>
      <c r="Q78" s="64">
        <f t="shared" si="56"/>
        <v>0</v>
      </c>
      <c r="R78" s="64">
        <f t="shared" si="56"/>
        <v>0</v>
      </c>
    </row>
    <row r="79" spans="1:18">
      <c r="R79" s="17"/>
    </row>
    <row r="80" spans="1:18">
      <c r="C80" s="57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</row>
    <row r="81" spans="1:18">
      <c r="C81" s="39"/>
      <c r="D81" s="39" t="s">
        <v>38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15" t="s">
        <v>30</v>
      </c>
      <c r="B82" s="16" t="s">
        <v>0</v>
      </c>
      <c r="C82" s="15"/>
      <c r="D82" s="15">
        <f t="shared" ref="D82:R82" si="57">D$100</f>
        <v>2025</v>
      </c>
      <c r="E82" s="15">
        <f t="shared" si="57"/>
        <v>2026</v>
      </c>
      <c r="F82" s="15">
        <f t="shared" si="57"/>
        <v>2027</v>
      </c>
      <c r="G82" s="15">
        <f t="shared" si="57"/>
        <v>2028</v>
      </c>
      <c r="H82" s="15">
        <f t="shared" si="57"/>
        <v>2029</v>
      </c>
      <c r="I82" s="15">
        <f t="shared" si="57"/>
        <v>2030</v>
      </c>
      <c r="J82" s="15">
        <f t="shared" si="57"/>
        <v>2031</v>
      </c>
      <c r="K82" s="15">
        <f t="shared" si="57"/>
        <v>2032</v>
      </c>
      <c r="L82" s="15">
        <f t="shared" si="57"/>
        <v>2033</v>
      </c>
      <c r="M82" s="15">
        <f t="shared" si="57"/>
        <v>2034</v>
      </c>
      <c r="N82" s="15">
        <f t="shared" si="57"/>
        <v>2035</v>
      </c>
      <c r="O82" s="15">
        <f t="shared" si="57"/>
        <v>2036</v>
      </c>
      <c r="P82" s="15">
        <f t="shared" si="57"/>
        <v>2037</v>
      </c>
      <c r="Q82" s="15">
        <f t="shared" si="57"/>
        <v>2038</v>
      </c>
      <c r="R82" s="15">
        <f t="shared" si="57"/>
        <v>2039</v>
      </c>
    </row>
    <row r="83" spans="1:18">
      <c r="A83" s="15"/>
      <c r="B83" s="1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>
      <c r="A84" s="21"/>
      <c r="B84" s="113">
        <f>SUM(H4:H18)</f>
        <v>0</v>
      </c>
      <c r="C84" s="20"/>
      <c r="D84" s="64">
        <f>-$H4</f>
        <v>0</v>
      </c>
      <c r="E84" s="64">
        <f>-$H5</f>
        <v>0</v>
      </c>
      <c r="F84" s="64">
        <f>-$H6</f>
        <v>0</v>
      </c>
      <c r="G84" s="64">
        <f>-$H7</f>
        <v>0</v>
      </c>
      <c r="H84" s="64">
        <f>-$H8</f>
        <v>0</v>
      </c>
      <c r="I84" s="64">
        <f>-$H9</f>
        <v>0</v>
      </c>
      <c r="J84" s="64">
        <f>-$H10</f>
        <v>0</v>
      </c>
      <c r="K84" s="64">
        <f>-$H11</f>
        <v>0</v>
      </c>
      <c r="L84" s="64">
        <f>-H12</f>
        <v>0</v>
      </c>
      <c r="M84" s="64">
        <f>-H13</f>
        <v>0</v>
      </c>
      <c r="N84" s="64">
        <f>-H14</f>
        <v>0</v>
      </c>
      <c r="O84" s="64">
        <f>-H15</f>
        <v>0</v>
      </c>
      <c r="P84" s="64">
        <f>-H16</f>
        <v>0</v>
      </c>
      <c r="Q84" s="64">
        <f>-H17</f>
        <v>0</v>
      </c>
      <c r="R84" s="64">
        <f>-H18</f>
        <v>0</v>
      </c>
    </row>
    <row r="85" spans="1:18">
      <c r="A85" s="21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1:18">
      <c r="C86" s="39"/>
      <c r="D86" s="39" t="s">
        <v>39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15" t="s">
        <v>30</v>
      </c>
      <c r="B87" s="16" t="s">
        <v>0</v>
      </c>
      <c r="C87" s="15"/>
      <c r="D87" s="15">
        <f t="shared" ref="D87:R87" si="58">D$100</f>
        <v>2025</v>
      </c>
      <c r="E87" s="15">
        <f t="shared" si="58"/>
        <v>2026</v>
      </c>
      <c r="F87" s="15">
        <f t="shared" si="58"/>
        <v>2027</v>
      </c>
      <c r="G87" s="15">
        <f t="shared" si="58"/>
        <v>2028</v>
      </c>
      <c r="H87" s="15">
        <f t="shared" si="58"/>
        <v>2029</v>
      </c>
      <c r="I87" s="15">
        <f t="shared" si="58"/>
        <v>2030</v>
      </c>
      <c r="J87" s="15">
        <f t="shared" si="58"/>
        <v>2031</v>
      </c>
      <c r="K87" s="15">
        <f t="shared" si="58"/>
        <v>2032</v>
      </c>
      <c r="L87" s="15">
        <f t="shared" si="58"/>
        <v>2033</v>
      </c>
      <c r="M87" s="15">
        <f t="shared" si="58"/>
        <v>2034</v>
      </c>
      <c r="N87" s="15">
        <f t="shared" si="58"/>
        <v>2035</v>
      </c>
      <c r="O87" s="15">
        <f t="shared" si="58"/>
        <v>2036</v>
      </c>
      <c r="P87" s="15">
        <f t="shared" si="58"/>
        <v>2037</v>
      </c>
      <c r="Q87" s="15">
        <f t="shared" si="58"/>
        <v>2038</v>
      </c>
      <c r="R87" s="15">
        <f t="shared" si="58"/>
        <v>2039</v>
      </c>
    </row>
    <row r="88" spans="1:18">
      <c r="R88" s="17"/>
    </row>
    <row r="89" spans="1:18">
      <c r="A89" s="21"/>
      <c r="B89" s="113">
        <f>SUM(H4:H18)</f>
        <v>0</v>
      </c>
      <c r="C89" s="20"/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</row>
    <row r="90" spans="1:18">
      <c r="R90" s="17"/>
    </row>
    <row r="91" spans="1:18">
      <c r="C91" s="39"/>
      <c r="D91" s="39" t="s">
        <v>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15" t="s">
        <v>30</v>
      </c>
      <c r="B92" s="16" t="s">
        <v>0</v>
      </c>
      <c r="C92" s="15"/>
      <c r="D92" s="15">
        <f t="shared" ref="D92:R92" si="59">D$100</f>
        <v>2025</v>
      </c>
      <c r="E92" s="15">
        <f t="shared" si="59"/>
        <v>2026</v>
      </c>
      <c r="F92" s="15">
        <f t="shared" si="59"/>
        <v>2027</v>
      </c>
      <c r="G92" s="15">
        <f t="shared" si="59"/>
        <v>2028</v>
      </c>
      <c r="H92" s="15">
        <f t="shared" si="59"/>
        <v>2029</v>
      </c>
      <c r="I92" s="15">
        <f t="shared" si="59"/>
        <v>2030</v>
      </c>
      <c r="J92" s="15">
        <f t="shared" si="59"/>
        <v>2031</v>
      </c>
      <c r="K92" s="15">
        <f t="shared" si="59"/>
        <v>2032</v>
      </c>
      <c r="L92" s="15">
        <f t="shared" si="59"/>
        <v>2033</v>
      </c>
      <c r="M92" s="15">
        <f t="shared" si="59"/>
        <v>2034</v>
      </c>
      <c r="N92" s="15">
        <f t="shared" si="59"/>
        <v>2035</v>
      </c>
      <c r="O92" s="15">
        <f t="shared" si="59"/>
        <v>2036</v>
      </c>
      <c r="P92" s="15">
        <f t="shared" si="59"/>
        <v>2037</v>
      </c>
      <c r="Q92" s="15">
        <f t="shared" si="59"/>
        <v>2038</v>
      </c>
      <c r="R92" s="15">
        <f t="shared" si="59"/>
        <v>2039</v>
      </c>
    </row>
    <row r="93" spans="1:18">
      <c r="R93" s="17"/>
    </row>
    <row r="94" spans="1:18">
      <c r="A94" s="21"/>
      <c r="B94" s="113">
        <f>SUM(H4:H18)</f>
        <v>0</v>
      </c>
      <c r="C94" s="20"/>
      <c r="D94" s="63">
        <f>D84+D89</f>
        <v>0</v>
      </c>
      <c r="E94" s="63">
        <f t="shared" ref="E94:R94" si="60">E84+E89</f>
        <v>0</v>
      </c>
      <c r="F94" s="63">
        <f t="shared" si="60"/>
        <v>0</v>
      </c>
      <c r="G94" s="63">
        <f t="shared" si="60"/>
        <v>0</v>
      </c>
      <c r="H94" s="63">
        <f t="shared" si="60"/>
        <v>0</v>
      </c>
      <c r="I94" s="63">
        <f t="shared" si="60"/>
        <v>0</v>
      </c>
      <c r="J94" s="63">
        <f t="shared" si="60"/>
        <v>0</v>
      </c>
      <c r="K94" s="63">
        <f t="shared" si="60"/>
        <v>0</v>
      </c>
      <c r="L94" s="63">
        <f t="shared" si="60"/>
        <v>0</v>
      </c>
      <c r="M94" s="63">
        <f t="shared" si="60"/>
        <v>0</v>
      </c>
      <c r="N94" s="63">
        <f t="shared" si="60"/>
        <v>0</v>
      </c>
      <c r="O94" s="63">
        <f t="shared" si="60"/>
        <v>0</v>
      </c>
      <c r="P94" s="63">
        <f t="shared" si="60"/>
        <v>0</v>
      </c>
      <c r="Q94" s="63">
        <f t="shared" si="60"/>
        <v>0</v>
      </c>
      <c r="R94" s="63">
        <f t="shared" si="60"/>
        <v>0</v>
      </c>
    </row>
    <row r="95" spans="1:18">
      <c r="A95" s="21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1:18">
      <c r="R96" s="17"/>
    </row>
    <row r="97" spans="1:18">
      <c r="A97" s="21" t="s">
        <v>37</v>
      </c>
      <c r="C97" s="20"/>
      <c r="D97" s="20">
        <f>SUM($D$94:D94)</f>
        <v>0</v>
      </c>
      <c r="E97" s="20">
        <f>SUM($D$94:E94)</f>
        <v>0</v>
      </c>
      <c r="F97" s="20">
        <f>SUM($D$94:F94)</f>
        <v>0</v>
      </c>
      <c r="G97" s="20">
        <f>SUM($D$94:G94)</f>
        <v>0</v>
      </c>
      <c r="H97" s="20">
        <f>SUM($D$94:H94)</f>
        <v>0</v>
      </c>
      <c r="I97" s="20">
        <f>SUM($D$94:I94)</f>
        <v>0</v>
      </c>
      <c r="J97" s="20">
        <f>SUM($D$94:J94)</f>
        <v>0</v>
      </c>
      <c r="K97" s="20">
        <f>SUM($D$94:K94)</f>
        <v>0</v>
      </c>
      <c r="L97" s="20">
        <f>SUM($D$94:L94)</f>
        <v>0</v>
      </c>
      <c r="M97" s="20">
        <f>SUM($D$94:M94)</f>
        <v>0</v>
      </c>
      <c r="N97" s="20">
        <f>SUM($D$94:N94)</f>
        <v>0</v>
      </c>
      <c r="O97" s="20">
        <f>SUM($D$94:O94)</f>
        <v>0</v>
      </c>
      <c r="P97" s="20">
        <f>SUM($D$94:P94)</f>
        <v>0</v>
      </c>
      <c r="Q97" s="20">
        <f>SUM($D$94:Q94)</f>
        <v>0</v>
      </c>
      <c r="R97" s="20">
        <f>SUM($D$94:R94)</f>
        <v>0</v>
      </c>
    </row>
    <row r="98" spans="1:18">
      <c r="A98" s="60"/>
      <c r="B98" s="61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</row>
    <row r="99" spans="1:18">
      <c r="A99" s="135" t="s">
        <v>298</v>
      </c>
      <c r="B99" s="3"/>
      <c r="C99" s="3"/>
      <c r="D99" s="39" t="s">
        <v>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s="45" customFormat="1" ht="22.5">
      <c r="A100" s="42" t="s">
        <v>30</v>
      </c>
      <c r="B100" s="43" t="s">
        <v>0</v>
      </c>
      <c r="C100" s="44" t="s">
        <v>46</v>
      </c>
      <c r="D100" s="48">
        <v>2025</v>
      </c>
      <c r="E100" s="42">
        <f>D100+1</f>
        <v>2026</v>
      </c>
      <c r="F100" s="42">
        <f t="shared" ref="F100:R100" si="61">E100+1</f>
        <v>2027</v>
      </c>
      <c r="G100" s="42">
        <f t="shared" si="61"/>
        <v>2028</v>
      </c>
      <c r="H100" s="42">
        <f t="shared" si="61"/>
        <v>2029</v>
      </c>
      <c r="I100" s="42">
        <f t="shared" si="61"/>
        <v>2030</v>
      </c>
      <c r="J100" s="42">
        <f t="shared" si="61"/>
        <v>2031</v>
      </c>
      <c r="K100" s="42">
        <f t="shared" si="61"/>
        <v>2032</v>
      </c>
      <c r="L100" s="42">
        <f t="shared" si="61"/>
        <v>2033</v>
      </c>
      <c r="M100" s="42">
        <f t="shared" si="61"/>
        <v>2034</v>
      </c>
      <c r="N100" s="42">
        <f t="shared" si="61"/>
        <v>2035</v>
      </c>
      <c r="O100" s="42">
        <f t="shared" si="61"/>
        <v>2036</v>
      </c>
      <c r="P100" s="42">
        <f t="shared" si="61"/>
        <v>2037</v>
      </c>
      <c r="Q100" s="42">
        <f t="shared" si="61"/>
        <v>2038</v>
      </c>
      <c r="R100" s="42">
        <f t="shared" si="61"/>
        <v>2039</v>
      </c>
    </row>
    <row r="101" spans="1:18">
      <c r="A101" s="49">
        <v>2025</v>
      </c>
      <c r="B101" s="23">
        <v>3900000</v>
      </c>
      <c r="C101" s="46">
        <f t="shared" ref="C101:C115" si="62">B101/$D4</f>
        <v>0.39</v>
      </c>
      <c r="D101" s="17">
        <f>VLOOKUP(D$100,'Aggregated Median CA data'!$D$126:$M$140,5,0)*$B101</f>
        <v>619798.84810948942</v>
      </c>
      <c r="E101" s="17">
        <f>VLOOKUP(E$100,'Aggregated Median CA data'!$D$126:$M$140,5,0)*$B101</f>
        <v>1377730.5413336221</v>
      </c>
      <c r="F101" s="17">
        <f>VLOOKUP(F$100,'Aggregated Median CA data'!$D$126:$M$140,5,0)*$B101</f>
        <v>2240893.0343931131</v>
      </c>
      <c r="G101" s="17">
        <f>VLOOKUP(G$100,'Aggregated Median CA data'!$D$126:$M$140,5,0)*$B101</f>
        <v>2928916.0945142261</v>
      </c>
      <c r="H101" s="17">
        <f>VLOOKUP(H$100,'Aggregated Median CA data'!$D$126:$M$140,5,0)*$B101</f>
        <v>3284097.9032119126</v>
      </c>
      <c r="I101" s="17">
        <f>VLOOKUP(I$100,'Aggregated Median CA data'!$D$126:$M$140,5,0)*$B101</f>
        <v>3142486.3873485434</v>
      </c>
      <c r="J101" s="17">
        <f>VLOOKUP(J$100,'Aggregated Median CA data'!$D$126:$M$140,5,0)*$B101</f>
        <v>2861892.1206368487</v>
      </c>
      <c r="K101" s="17">
        <f>VLOOKUP(K$100,'Aggregated Median CA data'!$D$126:$M$140,5,0)*$B101</f>
        <v>2426009.2978910981</v>
      </c>
      <c r="L101" s="17">
        <f>VLOOKUP(L$100,'Aggregated Median CA data'!$D$126:$M$140,5,0)*$B101</f>
        <v>1922276.7993185902</v>
      </c>
      <c r="M101" s="17">
        <f>VLOOKUP(M$100,'Aggregated Median CA data'!$D$126:$M$140,5,0)*$B101</f>
        <v>1564270.3432660811</v>
      </c>
      <c r="N101" s="17">
        <f>VLOOKUP(N$100,'Aggregated Median CA data'!$D$126:$M$140,5,0)*$B101</f>
        <v>1174462.7976624137</v>
      </c>
      <c r="O101" s="17">
        <f>VLOOKUP(O$100,'Aggregated Median CA data'!$D$126:$M$140,5,0)*$B101</f>
        <v>902056.17491072114</v>
      </c>
      <c r="P101" s="17">
        <f>VLOOKUP(P$100,'Aggregated Median CA data'!$D$126:$M$140,5,0)*$B101</f>
        <v>698711.61843047559</v>
      </c>
      <c r="Q101" s="17">
        <f>VLOOKUP(Q$100,'Aggregated Median CA data'!$D$126:$M$140,5,0)*$B101</f>
        <v>603071.19741045742</v>
      </c>
      <c r="R101" s="17">
        <f>VLOOKUP(R$100,'Aggregated Median CA data'!$D$126:$M$140,5,0)*$B101</f>
        <v>549638.6785504492</v>
      </c>
    </row>
    <row r="102" spans="1:18">
      <c r="A102" s="18">
        <f>A101+1</f>
        <v>2026</v>
      </c>
      <c r="B102" s="23">
        <v>3900000</v>
      </c>
      <c r="C102" s="46">
        <f t="shared" si="62"/>
        <v>0.36654135338345867</v>
      </c>
      <c r="E102" s="17">
        <f t="shared" ref="E102:R102" si="63">IF($B102=0,0,(D101/$B101)*$B102)</f>
        <v>619798.84810948942</v>
      </c>
      <c r="F102" s="17">
        <f t="shared" si="63"/>
        <v>1377730.5413336221</v>
      </c>
      <c r="G102" s="17">
        <f t="shared" si="63"/>
        <v>2240893.0343931131</v>
      </c>
      <c r="H102" s="17">
        <f t="shared" si="63"/>
        <v>2928916.0945142261</v>
      </c>
      <c r="I102" s="17">
        <f t="shared" si="63"/>
        <v>3284097.9032119126</v>
      </c>
      <c r="J102" s="17">
        <f t="shared" si="63"/>
        <v>3142486.3873485434</v>
      </c>
      <c r="K102" s="17">
        <f t="shared" si="63"/>
        <v>2861892.1206368487</v>
      </c>
      <c r="L102" s="17">
        <f t="shared" si="63"/>
        <v>2426009.2978910981</v>
      </c>
      <c r="M102" s="17">
        <f t="shared" si="63"/>
        <v>1922276.7993185902</v>
      </c>
      <c r="N102" s="17">
        <f t="shared" si="63"/>
        <v>1564270.3432660811</v>
      </c>
      <c r="O102" s="17">
        <f t="shared" si="63"/>
        <v>1174462.7976624137</v>
      </c>
      <c r="P102" s="17">
        <f t="shared" si="63"/>
        <v>902056.17491072114</v>
      </c>
      <c r="Q102" s="17">
        <f t="shared" si="63"/>
        <v>698711.61843047559</v>
      </c>
      <c r="R102" s="17">
        <f t="shared" si="63"/>
        <v>603071.19741045742</v>
      </c>
    </row>
    <row r="103" spans="1:18">
      <c r="A103" s="18">
        <f t="shared" ref="A103:A115" si="64">A102+1</f>
        <v>2027</v>
      </c>
      <c r="B103" s="23">
        <v>3900000</v>
      </c>
      <c r="C103" s="46">
        <f t="shared" si="62"/>
        <v>0.34449375317994235</v>
      </c>
      <c r="F103" s="17">
        <f t="shared" ref="F103:R103" si="65">IF($B103=0,0,(E102/$B102)*$B103)</f>
        <v>619798.84810948942</v>
      </c>
      <c r="G103" s="17">
        <f t="shared" si="65"/>
        <v>1377730.5413336221</v>
      </c>
      <c r="H103" s="17">
        <f t="shared" si="65"/>
        <v>2240893.0343931131</v>
      </c>
      <c r="I103" s="17">
        <f t="shared" si="65"/>
        <v>2928916.0945142261</v>
      </c>
      <c r="J103" s="17">
        <f t="shared" si="65"/>
        <v>3284097.9032119126</v>
      </c>
      <c r="K103" s="17">
        <f t="shared" si="65"/>
        <v>3142486.3873485434</v>
      </c>
      <c r="L103" s="17">
        <f t="shared" si="65"/>
        <v>2861892.1206368487</v>
      </c>
      <c r="M103" s="17">
        <f t="shared" si="65"/>
        <v>2426009.2978910981</v>
      </c>
      <c r="N103" s="17">
        <f t="shared" si="65"/>
        <v>1922276.7993185902</v>
      </c>
      <c r="O103" s="17">
        <f t="shared" si="65"/>
        <v>1564270.3432660811</v>
      </c>
      <c r="P103" s="17">
        <f t="shared" si="65"/>
        <v>1174462.7976624137</v>
      </c>
      <c r="Q103" s="17">
        <f t="shared" si="65"/>
        <v>902056.17491072114</v>
      </c>
      <c r="R103" s="17">
        <f t="shared" si="65"/>
        <v>698711.61843047559</v>
      </c>
    </row>
    <row r="104" spans="1:18">
      <c r="A104" s="18">
        <f t="shared" si="64"/>
        <v>2028</v>
      </c>
      <c r="B104" s="23">
        <v>3900000</v>
      </c>
      <c r="C104" s="46">
        <f t="shared" si="62"/>
        <v>0.32377232441723902</v>
      </c>
      <c r="G104" s="17">
        <f t="shared" ref="G104:R104" si="66">IF($B104=0,0,(F103/$B103)*$B104)</f>
        <v>619798.84810948942</v>
      </c>
      <c r="H104" s="17">
        <f t="shared" si="66"/>
        <v>1377730.5413336221</v>
      </c>
      <c r="I104" s="17">
        <f t="shared" si="66"/>
        <v>2240893.0343931131</v>
      </c>
      <c r="J104" s="17">
        <f t="shared" si="66"/>
        <v>2928916.0945142261</v>
      </c>
      <c r="K104" s="17">
        <f t="shared" si="66"/>
        <v>3284097.9032119126</v>
      </c>
      <c r="L104" s="17">
        <f t="shared" si="66"/>
        <v>3142486.3873485434</v>
      </c>
      <c r="M104" s="17">
        <f t="shared" si="66"/>
        <v>2861892.1206368487</v>
      </c>
      <c r="N104" s="17">
        <f t="shared" si="66"/>
        <v>2426009.2978910981</v>
      </c>
      <c r="O104" s="17">
        <f t="shared" si="66"/>
        <v>1922276.7993185902</v>
      </c>
      <c r="P104" s="17">
        <f t="shared" si="66"/>
        <v>1564270.3432660811</v>
      </c>
      <c r="Q104" s="17">
        <f t="shared" si="66"/>
        <v>1174462.7976624137</v>
      </c>
      <c r="R104" s="17">
        <f t="shared" si="66"/>
        <v>902056.17491072114</v>
      </c>
    </row>
    <row r="105" spans="1:18">
      <c r="A105" s="18">
        <f t="shared" si="64"/>
        <v>2029</v>
      </c>
      <c r="B105" s="23">
        <v>3900000</v>
      </c>
      <c r="C105" s="46">
        <f t="shared" si="62"/>
        <v>0.30429729738462308</v>
      </c>
      <c r="H105" s="17">
        <f t="shared" ref="H105:R105" si="67">IF($B105=0,0,(G104/$B104)*$B105)</f>
        <v>619798.84810948942</v>
      </c>
      <c r="I105" s="17">
        <f t="shared" si="67"/>
        <v>1377730.5413336221</v>
      </c>
      <c r="J105" s="17">
        <f t="shared" si="67"/>
        <v>2240893.0343931131</v>
      </c>
      <c r="K105" s="17">
        <f t="shared" si="67"/>
        <v>2928916.0945142261</v>
      </c>
      <c r="L105" s="17">
        <f t="shared" si="67"/>
        <v>3284097.9032119126</v>
      </c>
      <c r="M105" s="17">
        <f t="shared" si="67"/>
        <v>3142486.3873485434</v>
      </c>
      <c r="N105" s="17">
        <f t="shared" si="67"/>
        <v>2861892.1206368487</v>
      </c>
      <c r="O105" s="17">
        <f t="shared" si="67"/>
        <v>2426009.2978910981</v>
      </c>
      <c r="P105" s="17">
        <f t="shared" si="67"/>
        <v>1922276.7993185902</v>
      </c>
      <c r="Q105" s="17">
        <f t="shared" si="67"/>
        <v>1564270.3432660811</v>
      </c>
      <c r="R105" s="17">
        <f t="shared" si="67"/>
        <v>1174462.7976624137</v>
      </c>
    </row>
    <row r="106" spans="1:18">
      <c r="A106" s="18">
        <f t="shared" si="64"/>
        <v>2030</v>
      </c>
      <c r="B106" s="23">
        <v>3900000</v>
      </c>
      <c r="C106" s="46">
        <f t="shared" si="62"/>
        <v>0.28599370054945777</v>
      </c>
      <c r="I106" s="17">
        <f t="shared" ref="I106:R106" si="68">IF($B106=0,0,(H105/$B105)*$B106)</f>
        <v>619798.84810948942</v>
      </c>
      <c r="J106" s="17">
        <f t="shared" si="68"/>
        <v>1377730.5413336221</v>
      </c>
      <c r="K106" s="17">
        <f t="shared" si="68"/>
        <v>2240893.0343931131</v>
      </c>
      <c r="L106" s="17">
        <f t="shared" si="68"/>
        <v>2928916.0945142261</v>
      </c>
      <c r="M106" s="17">
        <f t="shared" si="68"/>
        <v>3284097.9032119126</v>
      </c>
      <c r="N106" s="17">
        <f t="shared" si="68"/>
        <v>3142486.3873485434</v>
      </c>
      <c r="O106" s="17">
        <f t="shared" si="68"/>
        <v>2861892.1206368487</v>
      </c>
      <c r="P106" s="17">
        <f t="shared" si="68"/>
        <v>2426009.2978910981</v>
      </c>
      <c r="Q106" s="17">
        <f t="shared" si="68"/>
        <v>1922276.7993185902</v>
      </c>
      <c r="R106" s="17">
        <f t="shared" si="68"/>
        <v>1564270.3432660811</v>
      </c>
    </row>
    <row r="107" spans="1:18">
      <c r="A107" s="18">
        <f t="shared" si="64"/>
        <v>2031</v>
      </c>
      <c r="B107" s="23">
        <v>3900000</v>
      </c>
      <c r="C107" s="46">
        <f t="shared" si="62"/>
        <v>0.26879107194497909</v>
      </c>
      <c r="J107" s="17">
        <f t="shared" ref="J107:R107" si="69">IF($B107=0,0,(I106/$B106)*$B107)</f>
        <v>619798.84810948942</v>
      </c>
      <c r="K107" s="17">
        <f t="shared" si="69"/>
        <v>1377730.5413336221</v>
      </c>
      <c r="L107" s="17">
        <f t="shared" si="69"/>
        <v>2240893.0343931131</v>
      </c>
      <c r="M107" s="17">
        <f t="shared" si="69"/>
        <v>2928916.0945142261</v>
      </c>
      <c r="N107" s="17">
        <f t="shared" si="69"/>
        <v>3284097.9032119126</v>
      </c>
      <c r="O107" s="17">
        <f t="shared" si="69"/>
        <v>3142486.3873485434</v>
      </c>
      <c r="P107" s="17">
        <f t="shared" si="69"/>
        <v>2861892.1206368487</v>
      </c>
      <c r="Q107" s="17">
        <f t="shared" si="69"/>
        <v>2426009.2978910981</v>
      </c>
      <c r="R107" s="17">
        <f t="shared" si="69"/>
        <v>1922276.7993185902</v>
      </c>
    </row>
    <row r="108" spans="1:18">
      <c r="A108" s="18">
        <f t="shared" si="64"/>
        <v>2032</v>
      </c>
      <c r="B108" s="23">
        <v>3900000</v>
      </c>
      <c r="C108" s="46">
        <f t="shared" si="62"/>
        <v>0.25262318791821342</v>
      </c>
      <c r="K108" s="17">
        <f t="shared" ref="K108:R108" si="70">IF($B108=0,0,(J107/$B107)*$B108)</f>
        <v>619798.84810948942</v>
      </c>
      <c r="L108" s="17">
        <f t="shared" si="70"/>
        <v>1377730.5413336221</v>
      </c>
      <c r="M108" s="17">
        <f t="shared" si="70"/>
        <v>2240893.0343931131</v>
      </c>
      <c r="N108" s="17">
        <f t="shared" si="70"/>
        <v>2928916.0945142261</v>
      </c>
      <c r="O108" s="17">
        <f t="shared" si="70"/>
        <v>3284097.9032119126</v>
      </c>
      <c r="P108" s="17">
        <f t="shared" si="70"/>
        <v>3142486.3873485434</v>
      </c>
      <c r="Q108" s="17">
        <f t="shared" si="70"/>
        <v>2861892.1206368487</v>
      </c>
      <c r="R108" s="17">
        <f t="shared" si="70"/>
        <v>2426009.2978910981</v>
      </c>
    </row>
    <row r="109" spans="1:18">
      <c r="A109" s="18">
        <f t="shared" si="64"/>
        <v>2033</v>
      </c>
      <c r="B109" s="23">
        <v>3900000</v>
      </c>
      <c r="C109" s="46">
        <f t="shared" si="62"/>
        <v>0.2374278081938096</v>
      </c>
      <c r="L109" s="17">
        <f t="shared" ref="L109:R109" si="71">IF($B109=0,0,(K108/$B108)*$B109)</f>
        <v>619798.84810948942</v>
      </c>
      <c r="M109" s="17">
        <f t="shared" si="71"/>
        <v>1377730.5413336221</v>
      </c>
      <c r="N109" s="17">
        <f t="shared" si="71"/>
        <v>2240893.0343931131</v>
      </c>
      <c r="O109" s="17">
        <f t="shared" si="71"/>
        <v>2928916.0945142261</v>
      </c>
      <c r="P109" s="17">
        <f t="shared" si="71"/>
        <v>3284097.9032119126</v>
      </c>
      <c r="Q109" s="17">
        <f t="shared" si="71"/>
        <v>3142486.3873485434</v>
      </c>
      <c r="R109" s="17">
        <f t="shared" si="71"/>
        <v>2861892.1206368487</v>
      </c>
    </row>
    <row r="110" spans="1:18">
      <c r="A110" s="18">
        <f t="shared" si="64"/>
        <v>2034</v>
      </c>
      <c r="B110" s="23">
        <v>3900000</v>
      </c>
      <c r="C110" s="46">
        <f t="shared" si="62"/>
        <v>0.22314643627237743</v>
      </c>
      <c r="M110" s="17">
        <f>IF($B110=0,0,(L109/$B109)*$B110)</f>
        <v>619798.84810948942</v>
      </c>
      <c r="N110" s="17">
        <f t="shared" ref="N110:R110" si="72">IF($B110=0,0,(M109/$B109)*$B110)</f>
        <v>1377730.5413336221</v>
      </c>
      <c r="O110" s="17">
        <f t="shared" si="72"/>
        <v>2240893.0343931131</v>
      </c>
      <c r="P110" s="17">
        <f t="shared" si="72"/>
        <v>2928916.0945142261</v>
      </c>
      <c r="Q110" s="17">
        <f t="shared" si="72"/>
        <v>3284097.9032119126</v>
      </c>
      <c r="R110" s="17">
        <f t="shared" si="72"/>
        <v>3142486.3873485434</v>
      </c>
    </row>
    <row r="111" spans="1:18">
      <c r="A111" s="18">
        <f t="shared" si="64"/>
        <v>2035</v>
      </c>
      <c r="B111" s="23">
        <v>3900000</v>
      </c>
      <c r="C111" s="46">
        <f t="shared" si="62"/>
        <v>0.20972409424095623</v>
      </c>
      <c r="N111" s="17">
        <f>IF($B111=0,0,(M110/$B110)*$B111)</f>
        <v>619798.84810948942</v>
      </c>
      <c r="O111" s="17">
        <f>IF($B111=0,0,(N110/$B110)*$B111)</f>
        <v>1377730.5413336221</v>
      </c>
      <c r="P111" s="17">
        <f>IF($B111=0,0,(O110/$B110)*$B111)</f>
        <v>2240893.0343931131</v>
      </c>
      <c r="Q111" s="17">
        <f>IF($B111=0,0,(P110/$B110)*$B111)</f>
        <v>2928916.0945142261</v>
      </c>
      <c r="R111" s="17">
        <f>IF($B111=0,0,(Q110/$B110)*$B111)</f>
        <v>3284097.9032119126</v>
      </c>
    </row>
    <row r="112" spans="1:18">
      <c r="A112" s="18">
        <f t="shared" si="64"/>
        <v>2036</v>
      </c>
      <c r="B112" s="23">
        <v>3900000</v>
      </c>
      <c r="C112" s="46">
        <f t="shared" si="62"/>
        <v>0.19710911112871826</v>
      </c>
      <c r="O112" s="17">
        <f>IF($B112=0,0,(N111/$B111)*$B112)</f>
        <v>619798.84810948942</v>
      </c>
      <c r="P112" s="17">
        <f>IF($B112=0,0,(O111/$B111)*$B112)</f>
        <v>1377730.5413336221</v>
      </c>
      <c r="Q112" s="17">
        <f>IF($B112=0,0,(P111/$B111)*$B112)</f>
        <v>2240893.0343931131</v>
      </c>
      <c r="R112" s="17">
        <f>IF($B112=0,0,(Q111/$B111)*$B112)</f>
        <v>2928916.0945142261</v>
      </c>
    </row>
    <row r="113" spans="1:18">
      <c r="A113" s="18">
        <f t="shared" si="64"/>
        <v>2037</v>
      </c>
      <c r="B113" s="23">
        <v>3900000</v>
      </c>
      <c r="C113" s="46">
        <f t="shared" si="62"/>
        <v>0.18525292399315624</v>
      </c>
      <c r="P113" s="17">
        <f>IF($B113=0,0,(O112/$B112)*$B113)</f>
        <v>619798.84810948942</v>
      </c>
      <c r="Q113" s="17">
        <f>IF($B113=0,0,(P112/$B112)*$B113)</f>
        <v>1377730.5413336221</v>
      </c>
      <c r="R113" s="17">
        <f>IF($B113=0,0,(Q112/$B112)*$B113)</f>
        <v>2240893.0343931131</v>
      </c>
    </row>
    <row r="114" spans="1:18">
      <c r="A114" s="18">
        <f t="shared" si="64"/>
        <v>2038</v>
      </c>
      <c r="B114" s="23">
        <v>3900000</v>
      </c>
      <c r="C114" s="46">
        <f t="shared" si="62"/>
        <v>0.17410989097101148</v>
      </c>
      <c r="Q114" s="17">
        <f>IF($B114=0,0,(P113/$B113)*$B114)</f>
        <v>619798.84810948942</v>
      </c>
      <c r="R114" s="17">
        <f>IF($B114=0,0,(Q113/$B113)*$B114)</f>
        <v>1377730.5413336221</v>
      </c>
    </row>
    <row r="115" spans="1:18">
      <c r="A115" s="18">
        <f t="shared" si="64"/>
        <v>2039</v>
      </c>
      <c r="B115" s="23">
        <v>3900000</v>
      </c>
      <c r="C115" s="46">
        <f t="shared" si="62"/>
        <v>0.16363711557425892</v>
      </c>
      <c r="R115" s="17">
        <f>IF($B115=0,0,(Q114/$B114)*$B115)</f>
        <v>619798.84810948942</v>
      </c>
    </row>
    <row r="116" spans="1:18">
      <c r="R116" s="17"/>
    </row>
    <row r="117" spans="1:18">
      <c r="A117" s="21" t="s">
        <v>33</v>
      </c>
      <c r="C117" s="20"/>
      <c r="D117" s="20">
        <f>SUM(D101:D115)</f>
        <v>619798.84810948942</v>
      </c>
      <c r="E117" s="20">
        <f t="shared" ref="E117:R117" si="73">SUM(E101:E115)</f>
        <v>1997529.3894431116</v>
      </c>
      <c r="F117" s="20">
        <f t="shared" si="73"/>
        <v>4238422.4238362247</v>
      </c>
      <c r="G117" s="20">
        <f t="shared" si="73"/>
        <v>7167338.5183504513</v>
      </c>
      <c r="H117" s="20">
        <f t="shared" si="73"/>
        <v>10451436.421562362</v>
      </c>
      <c r="I117" s="20">
        <f t="shared" si="73"/>
        <v>13593922.808910906</v>
      </c>
      <c r="J117" s="20">
        <f t="shared" si="73"/>
        <v>16455814.929547755</v>
      </c>
      <c r="K117" s="20">
        <f t="shared" si="73"/>
        <v>18881824.227438856</v>
      </c>
      <c r="L117" s="20">
        <f t="shared" si="73"/>
        <v>20804101.026757449</v>
      </c>
      <c r="M117" s="20">
        <f t="shared" si="73"/>
        <v>22368371.370023526</v>
      </c>
      <c r="N117" s="20">
        <f t="shared" si="73"/>
        <v>23542834.167685941</v>
      </c>
      <c r="O117" s="20">
        <f t="shared" si="73"/>
        <v>24444890.342596661</v>
      </c>
      <c r="P117" s="20">
        <f t="shared" si="73"/>
        <v>25143601.961027138</v>
      </c>
      <c r="Q117" s="20">
        <f t="shared" si="73"/>
        <v>25746673.158437595</v>
      </c>
      <c r="R117" s="20">
        <f t="shared" si="73"/>
        <v>26296311.836988043</v>
      </c>
    </row>
    <row r="118" spans="1:18">
      <c r="R118" s="17"/>
    </row>
    <row r="119" spans="1:18">
      <c r="A119" s="21" t="s">
        <v>306</v>
      </c>
      <c r="C119" s="20"/>
      <c r="D119" s="20">
        <f>SUM(D117,D78,D54,D30)</f>
        <v>619798.84810948942</v>
      </c>
      <c r="E119" s="20">
        <f t="shared" ref="E119:R119" si="74">SUM(E117,E78,E54,E30)</f>
        <v>1997529.3894431116</v>
      </c>
      <c r="F119" s="20">
        <f t="shared" si="74"/>
        <v>4238422.4238362247</v>
      </c>
      <c r="G119" s="20">
        <f t="shared" si="74"/>
        <v>7167338.5183504513</v>
      </c>
      <c r="H119" s="20">
        <f t="shared" si="74"/>
        <v>10451436.421562362</v>
      </c>
      <c r="I119" s="20">
        <f t="shared" si="74"/>
        <v>13593922.808910906</v>
      </c>
      <c r="J119" s="20">
        <f t="shared" si="74"/>
        <v>16455814.929547755</v>
      </c>
      <c r="K119" s="20">
        <f t="shared" si="74"/>
        <v>18881824.227438856</v>
      </c>
      <c r="L119" s="20">
        <f t="shared" si="74"/>
        <v>20804101.026757449</v>
      </c>
      <c r="M119" s="20">
        <f t="shared" si="74"/>
        <v>22368371.370023526</v>
      </c>
      <c r="N119" s="20">
        <f t="shared" si="74"/>
        <v>23542834.167685941</v>
      </c>
      <c r="O119" s="20">
        <f t="shared" si="74"/>
        <v>24444890.342596661</v>
      </c>
      <c r="P119" s="20">
        <f t="shared" si="74"/>
        <v>25143601.961027138</v>
      </c>
      <c r="Q119" s="20">
        <f t="shared" si="74"/>
        <v>25746673.158437595</v>
      </c>
      <c r="R119" s="20">
        <f t="shared" si="74"/>
        <v>26296311.836988043</v>
      </c>
    </row>
    <row r="120" spans="1:18">
      <c r="R120" s="17"/>
    </row>
    <row r="121" spans="1:18">
      <c r="A121" s="33" t="s">
        <v>34</v>
      </c>
      <c r="B121" s="32"/>
      <c r="C121" s="24"/>
      <c r="D121" s="24">
        <f>$D$4</f>
        <v>10000000</v>
      </c>
      <c r="E121" s="24">
        <f>$D$5</f>
        <v>10640000</v>
      </c>
      <c r="F121" s="24">
        <f>$D$6</f>
        <v>11320960</v>
      </c>
      <c r="G121" s="24">
        <f>$D$7</f>
        <v>12045501.440000001</v>
      </c>
      <c r="H121" s="24">
        <f>$D$8</f>
        <v>12816413.532160003</v>
      </c>
      <c r="I121" s="24">
        <f>$D$9</f>
        <v>13636663.998218244</v>
      </c>
      <c r="J121" s="24">
        <f>$D$10</f>
        <v>14509410.494104212</v>
      </c>
      <c r="K121" s="24">
        <f>$D$11</f>
        <v>15438012.765726883</v>
      </c>
      <c r="L121" s="24">
        <f>$D$12</f>
        <v>16426045.582733404</v>
      </c>
      <c r="M121" s="24">
        <f>$D$13</f>
        <v>17477312.500028342</v>
      </c>
      <c r="N121" s="24">
        <f>$D$14</f>
        <v>18595860.500030156</v>
      </c>
      <c r="O121" s="24">
        <f>$D$15</f>
        <v>19785995.572032087</v>
      </c>
      <c r="P121" s="24">
        <f>$D$16</f>
        <v>21052299.288642142</v>
      </c>
      <c r="Q121" s="24">
        <f>$D$17</f>
        <v>22399646.443115242</v>
      </c>
      <c r="R121" s="24">
        <f>$D$18</f>
        <v>23833223.815474618</v>
      </c>
    </row>
    <row r="122" spans="1:18">
      <c r="A122" s="37" t="s">
        <v>35</v>
      </c>
      <c r="B122" s="32"/>
      <c r="C122" s="34"/>
      <c r="D122" s="34">
        <f>D119/D121</f>
        <v>6.1979884810948939E-2</v>
      </c>
      <c r="E122" s="34">
        <f t="shared" ref="E122:R122" si="75">E119/E121</f>
        <v>0.18773772457172103</v>
      </c>
      <c r="F122" s="34">
        <f t="shared" si="75"/>
        <v>0.37438719188445369</v>
      </c>
      <c r="G122" s="34">
        <f t="shared" si="75"/>
        <v>0.59502201332603477</v>
      </c>
      <c r="H122" s="34">
        <f t="shared" si="75"/>
        <v>0.81547278381247257</v>
      </c>
      <c r="I122" s="34">
        <f t="shared" si="75"/>
        <v>0.99686571515489986</v>
      </c>
      <c r="J122" s="34">
        <f t="shared" si="75"/>
        <v>1.1341477268311106</v>
      </c>
      <c r="K122" s="34">
        <f t="shared" si="75"/>
        <v>1.2230734948838362</v>
      </c>
      <c r="L122" s="34">
        <f t="shared" si="75"/>
        <v>1.2665313098014372</v>
      </c>
      <c r="M122" s="34">
        <f t="shared" si="75"/>
        <v>1.2798518862661095</v>
      </c>
      <c r="N122" s="34">
        <f t="shared" si="75"/>
        <v>1.2660255312007618</v>
      </c>
      <c r="O122" s="34">
        <f t="shared" si="75"/>
        <v>1.2354642582226198</v>
      </c>
      <c r="P122" s="34">
        <f t="shared" si="75"/>
        <v>1.1943399443590601</v>
      </c>
      <c r="Q122" s="34">
        <f t="shared" si="75"/>
        <v>1.1494231939697019</v>
      </c>
      <c r="R122" s="34">
        <f t="shared" si="75"/>
        <v>1.1033468254476833</v>
      </c>
    </row>
    <row r="123" spans="1:18">
      <c r="C123" s="65" t="s">
        <v>47</v>
      </c>
      <c r="D123" s="66">
        <f>D121/1000000</f>
        <v>10</v>
      </c>
      <c r="E123" s="67">
        <f t="shared" ref="E123:R123" si="76">E121/1000000</f>
        <v>10.64</v>
      </c>
      <c r="F123" s="67">
        <f t="shared" si="76"/>
        <v>11.320959999999999</v>
      </c>
      <c r="G123" s="67">
        <f t="shared" si="76"/>
        <v>12.045501440000001</v>
      </c>
      <c r="H123" s="67">
        <f t="shared" si="76"/>
        <v>12.816413532160002</v>
      </c>
      <c r="I123" s="67">
        <f t="shared" si="76"/>
        <v>13.636663998218244</v>
      </c>
      <c r="J123" s="67">
        <f t="shared" si="76"/>
        <v>14.509410494104213</v>
      </c>
      <c r="K123" s="67">
        <f t="shared" si="76"/>
        <v>15.438012765726883</v>
      </c>
      <c r="L123" s="67">
        <f t="shared" si="76"/>
        <v>16.426045582733405</v>
      </c>
      <c r="M123" s="67">
        <f t="shared" si="76"/>
        <v>17.477312500028344</v>
      </c>
      <c r="N123" s="67">
        <f t="shared" si="76"/>
        <v>18.595860500030156</v>
      </c>
      <c r="O123" s="67">
        <f t="shared" si="76"/>
        <v>19.785995572032085</v>
      </c>
      <c r="P123" s="67">
        <f t="shared" si="76"/>
        <v>21.052299288642143</v>
      </c>
      <c r="Q123" s="67">
        <f t="shared" si="76"/>
        <v>22.399646443115241</v>
      </c>
      <c r="R123" s="67">
        <f t="shared" si="76"/>
        <v>23.833223815474618</v>
      </c>
    </row>
    <row r="124" spans="1:18">
      <c r="C124" s="65" t="s">
        <v>48</v>
      </c>
      <c r="D124" s="66">
        <f>$B$101/1000000</f>
        <v>3.9</v>
      </c>
      <c r="E124" s="67">
        <f>$B$102/1000000</f>
        <v>3.9</v>
      </c>
      <c r="F124" s="67">
        <f>$B$103/1000000</f>
        <v>3.9</v>
      </c>
      <c r="G124" s="67">
        <f>$B$104/1000000</f>
        <v>3.9</v>
      </c>
      <c r="H124" s="67">
        <f>$B$105/1000000</f>
        <v>3.9</v>
      </c>
      <c r="I124" s="68">
        <f>$B$106/1000000</f>
        <v>3.9</v>
      </c>
      <c r="J124" s="68">
        <f>$B$107/1000000</f>
        <v>3.9</v>
      </c>
      <c r="K124" s="68">
        <f>$B$108/1000000</f>
        <v>3.9</v>
      </c>
      <c r="L124" s="68">
        <f>$B$109/1000000</f>
        <v>3.9</v>
      </c>
      <c r="M124" s="68">
        <f>$B$110/1000000</f>
        <v>3.9</v>
      </c>
      <c r="N124" s="67">
        <f>$B$111/1000000</f>
        <v>3.9</v>
      </c>
      <c r="O124" s="67">
        <f>$B$112/1000000</f>
        <v>3.9</v>
      </c>
      <c r="P124" s="67">
        <f>$B$113/1000000</f>
        <v>3.9</v>
      </c>
      <c r="Q124" s="67">
        <f>$B$114/1000000</f>
        <v>3.9</v>
      </c>
      <c r="R124" s="67">
        <f>$B$115/1000000</f>
        <v>3.9</v>
      </c>
    </row>
    <row r="125" spans="1:18">
      <c r="C125" s="65" t="s">
        <v>63</v>
      </c>
      <c r="D125" s="66">
        <f>D119/1000000</f>
        <v>0.61979884810948938</v>
      </c>
      <c r="E125" s="66">
        <f t="shared" ref="E125:R125" si="77">E119/1000000</f>
        <v>1.9975293894431116</v>
      </c>
      <c r="F125" s="66">
        <f t="shared" si="77"/>
        <v>4.2384224238362247</v>
      </c>
      <c r="G125" s="66">
        <f t="shared" si="77"/>
        <v>7.1673385183504514</v>
      </c>
      <c r="H125" s="66">
        <f t="shared" si="77"/>
        <v>10.451436421562363</v>
      </c>
      <c r="I125" s="66">
        <f t="shared" si="77"/>
        <v>13.593922808910905</v>
      </c>
      <c r="J125" s="66">
        <f t="shared" si="77"/>
        <v>16.455814929547756</v>
      </c>
      <c r="K125" s="66">
        <f t="shared" si="77"/>
        <v>18.881824227438855</v>
      </c>
      <c r="L125" s="66">
        <f t="shared" si="77"/>
        <v>20.804101026757451</v>
      </c>
      <c r="M125" s="66">
        <f t="shared" si="77"/>
        <v>22.368371370023524</v>
      </c>
      <c r="N125" s="66">
        <f t="shared" si="77"/>
        <v>23.542834167685943</v>
      </c>
      <c r="O125" s="66">
        <f t="shared" si="77"/>
        <v>24.444890342596661</v>
      </c>
      <c r="P125" s="66">
        <f t="shared" si="77"/>
        <v>25.143601961027137</v>
      </c>
      <c r="Q125" s="66">
        <f t="shared" si="77"/>
        <v>25.746673158437595</v>
      </c>
      <c r="R125" s="66">
        <f t="shared" si="77"/>
        <v>26.296311836988043</v>
      </c>
    </row>
    <row r="126" spans="1:18">
      <c r="C126" s="39"/>
      <c r="D126" s="39" t="s">
        <v>38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15" t="s">
        <v>30</v>
      </c>
      <c r="B127" s="16" t="s">
        <v>0</v>
      </c>
      <c r="C127" s="15"/>
      <c r="D127" s="15">
        <f t="shared" ref="D127:R127" si="78">D$100</f>
        <v>2025</v>
      </c>
      <c r="E127" s="15">
        <f t="shared" si="78"/>
        <v>2026</v>
      </c>
      <c r="F127" s="15">
        <f t="shared" si="78"/>
        <v>2027</v>
      </c>
      <c r="G127" s="15">
        <f t="shared" si="78"/>
        <v>2028</v>
      </c>
      <c r="H127" s="15">
        <f t="shared" si="78"/>
        <v>2029</v>
      </c>
      <c r="I127" s="15">
        <f t="shared" si="78"/>
        <v>2030</v>
      </c>
      <c r="J127" s="15">
        <f t="shared" si="78"/>
        <v>2031</v>
      </c>
      <c r="K127" s="15">
        <f t="shared" si="78"/>
        <v>2032</v>
      </c>
      <c r="L127" s="15">
        <f t="shared" si="78"/>
        <v>2033</v>
      </c>
      <c r="M127" s="15">
        <f t="shared" si="78"/>
        <v>2034</v>
      </c>
      <c r="N127" s="15">
        <f t="shared" si="78"/>
        <v>2035</v>
      </c>
      <c r="O127" s="15">
        <f t="shared" si="78"/>
        <v>2036</v>
      </c>
      <c r="P127" s="15">
        <f t="shared" si="78"/>
        <v>2037</v>
      </c>
      <c r="Q127" s="15">
        <f t="shared" si="78"/>
        <v>2038</v>
      </c>
      <c r="R127" s="15">
        <f t="shared" si="78"/>
        <v>2039</v>
      </c>
    </row>
    <row r="128" spans="1:18">
      <c r="A128" s="18">
        <f>A101</f>
        <v>2025</v>
      </c>
      <c r="B128" s="24">
        <f t="shared" ref="B128:B142" si="79">B101</f>
        <v>3900000</v>
      </c>
      <c r="D128" s="17">
        <f>VLOOKUP(D$100,'Aggregated Median CA data'!$D$126:$M$140,7,0)*$B128</f>
        <v>-672096.06203262624</v>
      </c>
      <c r="E128" s="17">
        <f>VLOOKUP(E$100,'Aggregated Median CA data'!$D$126:$M$140,7,0)*$B128</f>
        <v>-774526.05587465828</v>
      </c>
      <c r="F128" s="17">
        <f>VLOOKUP(F$100,'Aggregated Median CA data'!$D$126:$M$140,7,0)*$B128</f>
        <v>-829338.59859042021</v>
      </c>
      <c r="G128" s="17">
        <f>VLOOKUP(G$100,'Aggregated Median CA data'!$D$126:$M$140,7,0)*$B128</f>
        <v>-723349.29635259602</v>
      </c>
      <c r="H128" s="17">
        <f>VLOOKUP(H$100,'Aggregated Median CA data'!$D$126:$M$140,7,0)*$B128</f>
        <v>-451017.53247583337</v>
      </c>
      <c r="I128" s="17">
        <f>VLOOKUP(I$100,'Aggregated Median CA data'!$D$126:$M$140,7,0)*$B128</f>
        <v>-228788.73402695762</v>
      </c>
      <c r="J128" s="17">
        <f>VLOOKUP(J$100,'Aggregated Median CA data'!$D$126:$M$140,7,0)*$B128</f>
        <v>-103339.39554283915</v>
      </c>
      <c r="K128" s="17">
        <f>VLOOKUP(K$100,'Aggregated Median CA data'!$D$126:$M$140,7,0)*$B128</f>
        <v>-60792.102574873941</v>
      </c>
      <c r="L128" s="17">
        <f>VLOOKUP(L$100,'Aggregated Median CA data'!$D$126:$M$140,7,0)*$B128</f>
        <v>-22944.111939653878</v>
      </c>
      <c r="M128" s="17">
        <f>VLOOKUP(M$100,'Aggregated Median CA data'!$D$126:$M$140,7,0)*$B128</f>
        <v>-15950.280103039671</v>
      </c>
      <c r="N128" s="17">
        <f>VLOOKUP(N$100,'Aggregated Median CA data'!$D$126:$M$140,7,0)*$B128</f>
        <v>-10599.081730009386</v>
      </c>
      <c r="O128" s="17">
        <f>VLOOKUP(O$100,'Aggregated Median CA data'!$D$126:$M$140,7,0)*$B128</f>
        <v>-5834.1943348743762</v>
      </c>
      <c r="P128" s="17">
        <f>VLOOKUP(P$100,'Aggregated Median CA data'!$D$126:$M$140,7,0)*$B128</f>
        <v>-4230.8477399490394</v>
      </c>
      <c r="Q128" s="17">
        <f>VLOOKUP(Q$100,'Aggregated Median CA data'!$D$126:$M$140,7,0)*$B128</f>
        <v>-355.66795809243155</v>
      </c>
      <c r="R128" s="17">
        <f>VLOOKUP(R$100,'Aggregated Median CA data'!$D$126:$M$140,7,0)*$B128</f>
        <v>-1530.3283453626636</v>
      </c>
    </row>
    <row r="129" spans="1:18">
      <c r="A129" s="18">
        <f t="shared" ref="A129:A142" si="80">A102</f>
        <v>2026</v>
      </c>
      <c r="B129" s="24">
        <f t="shared" si="79"/>
        <v>3900000</v>
      </c>
      <c r="C129" s="22"/>
      <c r="E129" s="17">
        <f>IFERROR((D128/$B128)*$B129,0)</f>
        <v>-672096.06203262624</v>
      </c>
      <c r="F129" s="17">
        <f t="shared" ref="F129:R130" si="81">IFERROR((E128/$B128)*$B129,0)</f>
        <v>-774526.05587465828</v>
      </c>
      <c r="G129" s="17">
        <f t="shared" si="81"/>
        <v>-829338.59859042021</v>
      </c>
      <c r="H129" s="17">
        <f t="shared" si="81"/>
        <v>-723349.29635259602</v>
      </c>
      <c r="I129" s="17">
        <f t="shared" si="81"/>
        <v>-451017.53247583337</v>
      </c>
      <c r="J129" s="17">
        <f t="shared" si="81"/>
        <v>-228788.73402695762</v>
      </c>
      <c r="K129" s="17">
        <f t="shared" si="81"/>
        <v>-103339.39554283915</v>
      </c>
      <c r="L129" s="17">
        <f t="shared" si="81"/>
        <v>-60792.102574873941</v>
      </c>
      <c r="M129" s="17">
        <f t="shared" si="81"/>
        <v>-22944.111939653878</v>
      </c>
      <c r="N129" s="17">
        <f t="shared" si="81"/>
        <v>-15950.280103039671</v>
      </c>
      <c r="O129" s="17">
        <f t="shared" si="81"/>
        <v>-10599.081730009386</v>
      </c>
      <c r="P129" s="17">
        <f t="shared" si="81"/>
        <v>-5834.1943348743762</v>
      </c>
      <c r="Q129" s="17">
        <f t="shared" si="81"/>
        <v>-4230.8477399490394</v>
      </c>
      <c r="R129" s="17">
        <f t="shared" si="81"/>
        <v>-355.66795809243155</v>
      </c>
    </row>
    <row r="130" spans="1:18">
      <c r="A130" s="18">
        <f t="shared" si="80"/>
        <v>2027</v>
      </c>
      <c r="B130" s="24">
        <f t="shared" si="79"/>
        <v>3900000</v>
      </c>
      <c r="C130" s="22"/>
      <c r="F130" s="17">
        <f>IFERROR((E129/$B129)*$B130,0)</f>
        <v>-672096.06203262624</v>
      </c>
      <c r="G130" s="17">
        <f t="shared" si="81"/>
        <v>-774526.05587465828</v>
      </c>
      <c r="H130" s="17">
        <f t="shared" si="81"/>
        <v>-829338.59859042021</v>
      </c>
      <c r="I130" s="17">
        <f t="shared" si="81"/>
        <v>-723349.29635259602</v>
      </c>
      <c r="J130" s="17">
        <f t="shared" si="81"/>
        <v>-451017.53247583337</v>
      </c>
      <c r="K130" s="17">
        <f t="shared" si="81"/>
        <v>-228788.73402695762</v>
      </c>
      <c r="L130" s="17">
        <f t="shared" si="81"/>
        <v>-103339.39554283915</v>
      </c>
      <c r="M130" s="17">
        <f t="shared" si="81"/>
        <v>-60792.102574873941</v>
      </c>
      <c r="N130" s="17">
        <f t="shared" si="81"/>
        <v>-22944.111939653878</v>
      </c>
      <c r="O130" s="17">
        <f t="shared" si="81"/>
        <v>-15950.280103039671</v>
      </c>
      <c r="P130" s="17">
        <f t="shared" si="81"/>
        <v>-10599.081730009386</v>
      </c>
      <c r="Q130" s="17">
        <f t="shared" si="81"/>
        <v>-5834.1943348743762</v>
      </c>
      <c r="R130" s="17">
        <f t="shared" si="81"/>
        <v>-4230.8477399490394</v>
      </c>
    </row>
    <row r="131" spans="1:18">
      <c r="A131" s="18">
        <f t="shared" si="80"/>
        <v>2028</v>
      </c>
      <c r="B131" s="24">
        <f t="shared" si="79"/>
        <v>3900000</v>
      </c>
      <c r="C131" s="22"/>
      <c r="G131" s="17">
        <f>IFERROR((F130/$B130)*$B131,0)</f>
        <v>-672096.06203262624</v>
      </c>
      <c r="H131" s="17">
        <f t="shared" ref="H131" si="82">IFERROR((G130/$B130)*$B131,0)</f>
        <v>-774526.05587465828</v>
      </c>
      <c r="I131" s="17">
        <f t="shared" ref="I131:I132" si="83">IFERROR((H130/$B130)*$B131,0)</f>
        <v>-829338.59859042021</v>
      </c>
      <c r="J131" s="17">
        <f t="shared" ref="J131:J133" si="84">IFERROR((I130/$B130)*$B131,0)</f>
        <v>-723349.29635259602</v>
      </c>
      <c r="K131" s="17">
        <f t="shared" ref="K131:K134" si="85">IFERROR((J130/$B130)*$B131,0)</f>
        <v>-451017.53247583337</v>
      </c>
      <c r="L131" s="17">
        <f t="shared" ref="L131:L135" si="86">IFERROR((K130/$B130)*$B131,0)</f>
        <v>-228788.73402695762</v>
      </c>
      <c r="M131" s="17">
        <f t="shared" ref="M131:M136" si="87">IFERROR((L130/$B130)*$B131,0)</f>
        <v>-103339.39554283915</v>
      </c>
      <c r="N131" s="17">
        <f t="shared" ref="N131:N137" si="88">IFERROR((M130/$B130)*$B131,0)</f>
        <v>-60792.102574873941</v>
      </c>
      <c r="O131" s="17">
        <f t="shared" ref="O131:O138" si="89">IFERROR((N130/$B130)*$B131,0)</f>
        <v>-22944.111939653878</v>
      </c>
      <c r="P131" s="17">
        <f t="shared" ref="P131:P139" si="90">IFERROR((O130/$B130)*$B131,0)</f>
        <v>-15950.280103039671</v>
      </c>
      <c r="Q131" s="17">
        <f t="shared" ref="Q131:Q140" si="91">IFERROR((P130/$B130)*$B131,0)</f>
        <v>-10599.081730009386</v>
      </c>
      <c r="R131" s="17">
        <f t="shared" ref="R131:R141" si="92">IFERROR((Q130/$B130)*$B131,0)</f>
        <v>-5834.1943348743762</v>
      </c>
    </row>
    <row r="132" spans="1:18">
      <c r="A132" s="18">
        <f t="shared" si="80"/>
        <v>2029</v>
      </c>
      <c r="B132" s="24">
        <f t="shared" si="79"/>
        <v>3900000</v>
      </c>
      <c r="C132" s="22"/>
      <c r="H132" s="17">
        <f>IFERROR((G131/$B131)*$B132,0)</f>
        <v>-672096.06203262624</v>
      </c>
      <c r="I132" s="17">
        <f t="shared" si="83"/>
        <v>-774526.05587465828</v>
      </c>
      <c r="J132" s="17">
        <f t="shared" si="84"/>
        <v>-829338.59859042021</v>
      </c>
      <c r="K132" s="17">
        <f t="shared" si="85"/>
        <v>-723349.29635259602</v>
      </c>
      <c r="L132" s="17">
        <f t="shared" si="86"/>
        <v>-451017.53247583337</v>
      </c>
      <c r="M132" s="17">
        <f t="shared" si="87"/>
        <v>-228788.73402695762</v>
      </c>
      <c r="N132" s="17">
        <f t="shared" si="88"/>
        <v>-103339.39554283915</v>
      </c>
      <c r="O132" s="17">
        <f t="shared" si="89"/>
        <v>-60792.102574873941</v>
      </c>
      <c r="P132" s="17">
        <f t="shared" si="90"/>
        <v>-22944.111939653878</v>
      </c>
      <c r="Q132" s="17">
        <f t="shared" si="91"/>
        <v>-15950.280103039671</v>
      </c>
      <c r="R132" s="17">
        <f t="shared" si="92"/>
        <v>-10599.081730009386</v>
      </c>
    </row>
    <row r="133" spans="1:18">
      <c r="A133" s="18">
        <f t="shared" si="80"/>
        <v>2030</v>
      </c>
      <c r="B133" s="24">
        <f t="shared" si="79"/>
        <v>3900000</v>
      </c>
      <c r="C133" s="22"/>
      <c r="I133" s="17">
        <f>IFERROR((H132/$B132)*$B133,0)</f>
        <v>-672096.06203262624</v>
      </c>
      <c r="J133" s="17">
        <f t="shared" si="84"/>
        <v>-774526.05587465828</v>
      </c>
      <c r="K133" s="17">
        <f t="shared" si="85"/>
        <v>-829338.59859042021</v>
      </c>
      <c r="L133" s="17">
        <f t="shared" si="86"/>
        <v>-723349.29635259602</v>
      </c>
      <c r="M133" s="17">
        <f t="shared" si="87"/>
        <v>-451017.53247583337</v>
      </c>
      <c r="N133" s="17">
        <f t="shared" si="88"/>
        <v>-228788.73402695762</v>
      </c>
      <c r="O133" s="17">
        <f t="shared" si="89"/>
        <v>-103339.39554283915</v>
      </c>
      <c r="P133" s="17">
        <f t="shared" si="90"/>
        <v>-60792.102574873941</v>
      </c>
      <c r="Q133" s="17">
        <f t="shared" si="91"/>
        <v>-22944.111939653878</v>
      </c>
      <c r="R133" s="17">
        <f t="shared" si="92"/>
        <v>-15950.280103039671</v>
      </c>
    </row>
    <row r="134" spans="1:18">
      <c r="A134" s="18">
        <f t="shared" si="80"/>
        <v>2031</v>
      </c>
      <c r="B134" s="24">
        <f t="shared" si="79"/>
        <v>3900000</v>
      </c>
      <c r="C134" s="22"/>
      <c r="J134" s="17">
        <f>IFERROR((I133/$B133)*$B134,0)</f>
        <v>-672096.06203262624</v>
      </c>
      <c r="K134" s="17">
        <f t="shared" si="85"/>
        <v>-774526.05587465828</v>
      </c>
      <c r="L134" s="17">
        <f t="shared" si="86"/>
        <v>-829338.59859042021</v>
      </c>
      <c r="M134" s="17">
        <f t="shared" si="87"/>
        <v>-723349.29635259602</v>
      </c>
      <c r="N134" s="17">
        <f t="shared" si="88"/>
        <v>-451017.53247583337</v>
      </c>
      <c r="O134" s="17">
        <f t="shared" si="89"/>
        <v>-228788.73402695762</v>
      </c>
      <c r="P134" s="17">
        <f t="shared" si="90"/>
        <v>-103339.39554283915</v>
      </c>
      <c r="Q134" s="17">
        <f t="shared" si="91"/>
        <v>-60792.102574873941</v>
      </c>
      <c r="R134" s="17">
        <f t="shared" si="92"/>
        <v>-22944.111939653878</v>
      </c>
    </row>
    <row r="135" spans="1:18">
      <c r="A135" s="18">
        <f t="shared" si="80"/>
        <v>2032</v>
      </c>
      <c r="B135" s="24">
        <f t="shared" si="79"/>
        <v>3900000</v>
      </c>
      <c r="K135" s="17">
        <f>IFERROR((J134/$B134)*$B135,0)</f>
        <v>-672096.06203262624</v>
      </c>
      <c r="L135" s="17">
        <f t="shared" si="86"/>
        <v>-774526.05587465828</v>
      </c>
      <c r="M135" s="17">
        <f t="shared" si="87"/>
        <v>-829338.59859042021</v>
      </c>
      <c r="N135" s="17">
        <f t="shared" si="88"/>
        <v>-723349.29635259602</v>
      </c>
      <c r="O135" s="17">
        <f t="shared" si="89"/>
        <v>-451017.53247583337</v>
      </c>
      <c r="P135" s="17">
        <f t="shared" si="90"/>
        <v>-228788.73402695762</v>
      </c>
      <c r="Q135" s="17">
        <f t="shared" si="91"/>
        <v>-103339.39554283915</v>
      </c>
      <c r="R135" s="17">
        <f t="shared" si="92"/>
        <v>-60792.102574873941</v>
      </c>
    </row>
    <row r="136" spans="1:18">
      <c r="A136" s="18">
        <f t="shared" si="80"/>
        <v>2033</v>
      </c>
      <c r="B136" s="24">
        <f t="shared" si="79"/>
        <v>3900000</v>
      </c>
      <c r="L136" s="17">
        <f>IFERROR((K135/$B135)*$B136,0)</f>
        <v>-672096.06203262624</v>
      </c>
      <c r="M136" s="17">
        <f t="shared" si="87"/>
        <v>-774526.05587465828</v>
      </c>
      <c r="N136" s="17">
        <f t="shared" si="88"/>
        <v>-829338.59859042021</v>
      </c>
      <c r="O136" s="17">
        <f t="shared" si="89"/>
        <v>-723349.29635259602</v>
      </c>
      <c r="P136" s="17">
        <f t="shared" si="90"/>
        <v>-451017.53247583337</v>
      </c>
      <c r="Q136" s="17">
        <f t="shared" si="91"/>
        <v>-228788.73402695762</v>
      </c>
      <c r="R136" s="17">
        <f t="shared" si="92"/>
        <v>-103339.39554283915</v>
      </c>
    </row>
    <row r="137" spans="1:18">
      <c r="A137" s="18">
        <f t="shared" si="80"/>
        <v>2034</v>
      </c>
      <c r="B137" s="24">
        <f t="shared" si="79"/>
        <v>3900000</v>
      </c>
      <c r="M137" s="17">
        <f>IFERROR((L136/$B136)*$B137,0)</f>
        <v>-672096.06203262624</v>
      </c>
      <c r="N137" s="17">
        <f t="shared" si="88"/>
        <v>-774526.05587465828</v>
      </c>
      <c r="O137" s="17">
        <f t="shared" si="89"/>
        <v>-829338.59859042021</v>
      </c>
      <c r="P137" s="17">
        <f t="shared" si="90"/>
        <v>-723349.29635259602</v>
      </c>
      <c r="Q137" s="17">
        <f t="shared" si="91"/>
        <v>-451017.53247583337</v>
      </c>
      <c r="R137" s="17">
        <f t="shared" si="92"/>
        <v>-228788.73402695762</v>
      </c>
    </row>
    <row r="138" spans="1:18">
      <c r="A138" s="18">
        <f t="shared" si="80"/>
        <v>2035</v>
      </c>
      <c r="B138" s="24">
        <f t="shared" si="79"/>
        <v>3900000</v>
      </c>
      <c r="N138" s="17">
        <f>IFERROR((M137/$B137)*$B138,0)</f>
        <v>-672096.06203262624</v>
      </c>
      <c r="O138" s="17">
        <f t="shared" si="89"/>
        <v>-774526.05587465828</v>
      </c>
      <c r="P138" s="17">
        <f t="shared" si="90"/>
        <v>-829338.59859042021</v>
      </c>
      <c r="Q138" s="17">
        <f t="shared" si="91"/>
        <v>-723349.29635259602</v>
      </c>
      <c r="R138" s="17">
        <f t="shared" si="92"/>
        <v>-451017.53247583337</v>
      </c>
    </row>
    <row r="139" spans="1:18">
      <c r="A139" s="18">
        <f t="shared" si="80"/>
        <v>2036</v>
      </c>
      <c r="B139" s="24">
        <f t="shared" si="79"/>
        <v>3900000</v>
      </c>
      <c r="O139" s="17">
        <f>IFERROR((N138/$B138)*$B139,0)</f>
        <v>-672096.06203262624</v>
      </c>
      <c r="P139" s="17">
        <f t="shared" si="90"/>
        <v>-774526.05587465828</v>
      </c>
      <c r="Q139" s="17">
        <f t="shared" si="91"/>
        <v>-829338.59859042021</v>
      </c>
      <c r="R139" s="17">
        <f t="shared" si="92"/>
        <v>-723349.29635259602</v>
      </c>
    </row>
    <row r="140" spans="1:18">
      <c r="A140" s="18">
        <f t="shared" si="80"/>
        <v>2037</v>
      </c>
      <c r="B140" s="24">
        <f t="shared" si="79"/>
        <v>3900000</v>
      </c>
      <c r="P140" s="17">
        <f>IFERROR((O139/$B139)*$B140,0)</f>
        <v>-672096.06203262624</v>
      </c>
      <c r="Q140" s="17">
        <f t="shared" si="91"/>
        <v>-774526.05587465828</v>
      </c>
      <c r="R140" s="17">
        <f t="shared" si="92"/>
        <v>-829338.59859042021</v>
      </c>
    </row>
    <row r="141" spans="1:18">
      <c r="A141" s="18">
        <f t="shared" si="80"/>
        <v>2038</v>
      </c>
      <c r="B141" s="24">
        <f t="shared" si="79"/>
        <v>3900000</v>
      </c>
      <c r="Q141" s="17">
        <f>IFERROR((P140/$B140)*$B141,0)</f>
        <v>-672096.06203262624</v>
      </c>
      <c r="R141" s="17">
        <f t="shared" si="92"/>
        <v>-774526.05587465828</v>
      </c>
    </row>
    <row r="142" spans="1:18">
      <c r="A142" s="18">
        <f t="shared" si="80"/>
        <v>2039</v>
      </c>
      <c r="B142" s="24">
        <f t="shared" si="79"/>
        <v>3900000</v>
      </c>
      <c r="R142" s="17">
        <f>IFERROR((Q141/$B141)*$B142,0)</f>
        <v>-672096.06203262624</v>
      </c>
    </row>
    <row r="143" spans="1:18">
      <c r="R143" s="17"/>
    </row>
    <row r="144" spans="1:18">
      <c r="A144" s="21" t="s">
        <v>33</v>
      </c>
      <c r="C144" s="20"/>
      <c r="D144" s="20">
        <f>SUM(D128:D142)</f>
        <v>-672096.06203262624</v>
      </c>
      <c r="E144" s="20">
        <f t="shared" ref="E144:R144" si="93">SUM(E128:E142)</f>
        <v>-1446622.1179072845</v>
      </c>
      <c r="F144" s="20">
        <f t="shared" si="93"/>
        <v>-2275960.7164977044</v>
      </c>
      <c r="G144" s="20">
        <f t="shared" si="93"/>
        <v>-2999310.0128503004</v>
      </c>
      <c r="H144" s="20">
        <f t="shared" si="93"/>
        <v>-3450327.5453261342</v>
      </c>
      <c r="I144" s="20">
        <f t="shared" si="93"/>
        <v>-3679116.2793530915</v>
      </c>
      <c r="J144" s="20">
        <f t="shared" si="93"/>
        <v>-3782455.674895931</v>
      </c>
      <c r="K144" s="20">
        <f t="shared" si="93"/>
        <v>-3843247.7774708048</v>
      </c>
      <c r="L144" s="20">
        <f t="shared" si="93"/>
        <v>-3866191.8894104585</v>
      </c>
      <c r="M144" s="20">
        <f t="shared" si="93"/>
        <v>-3882142.1695134984</v>
      </c>
      <c r="N144" s="20">
        <f t="shared" si="93"/>
        <v>-3892741.2512435075</v>
      </c>
      <c r="O144" s="20">
        <f t="shared" si="93"/>
        <v>-3898575.4455783824</v>
      </c>
      <c r="P144" s="20">
        <f t="shared" si="93"/>
        <v>-3902806.2933183312</v>
      </c>
      <c r="Q144" s="20">
        <f t="shared" si="93"/>
        <v>-3903161.9612764232</v>
      </c>
      <c r="R144" s="20">
        <f t="shared" si="93"/>
        <v>-3904692.2896217862</v>
      </c>
    </row>
    <row r="145" spans="1:18">
      <c r="A145" s="21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1:18">
      <c r="A146" s="21" t="s">
        <v>307</v>
      </c>
      <c r="C146" s="20"/>
      <c r="D146" s="20">
        <f>SUM(D144,D84,D60,D36)</f>
        <v>-672096.06203262624</v>
      </c>
      <c r="E146" s="20">
        <f t="shared" ref="E146:R146" si="94">SUM(E144,E84,E60,E36)</f>
        <v>-1446622.1179072845</v>
      </c>
      <c r="F146" s="20">
        <f t="shared" si="94"/>
        <v>-2275960.7164977044</v>
      </c>
      <c r="G146" s="20">
        <f t="shared" si="94"/>
        <v>-2999310.0128503004</v>
      </c>
      <c r="H146" s="20">
        <f t="shared" si="94"/>
        <v>-3450327.5453261342</v>
      </c>
      <c r="I146" s="20">
        <f t="shared" si="94"/>
        <v>-3679116.2793530915</v>
      </c>
      <c r="J146" s="20">
        <f t="shared" si="94"/>
        <v>-3782455.674895931</v>
      </c>
      <c r="K146" s="20">
        <f t="shared" si="94"/>
        <v>-3843247.7774708048</v>
      </c>
      <c r="L146" s="20">
        <f t="shared" si="94"/>
        <v>-3866191.8894104585</v>
      </c>
      <c r="M146" s="20">
        <f t="shared" si="94"/>
        <v>-3882142.1695134984</v>
      </c>
      <c r="N146" s="20">
        <f t="shared" si="94"/>
        <v>-3892741.2512435075</v>
      </c>
      <c r="O146" s="20">
        <f t="shared" si="94"/>
        <v>-3898575.4455783824</v>
      </c>
      <c r="P146" s="20">
        <f t="shared" si="94"/>
        <v>-3902806.2933183312</v>
      </c>
      <c r="Q146" s="20">
        <f t="shared" si="94"/>
        <v>-3903161.9612764232</v>
      </c>
      <c r="R146" s="20">
        <f t="shared" si="94"/>
        <v>-3904692.2896217862</v>
      </c>
    </row>
    <row r="147" spans="1:18">
      <c r="R147" s="17"/>
    </row>
    <row r="148" spans="1:18">
      <c r="A148" s="19" t="s">
        <v>316</v>
      </c>
      <c r="D148" s="17">
        <f>D146</f>
        <v>-672096.06203262624</v>
      </c>
      <c r="E148" s="17">
        <f>SUM($D$146:E147)</f>
        <v>-2118718.1799399108</v>
      </c>
      <c r="F148" s="17">
        <f>SUM($D$146:F147)</f>
        <v>-4394678.8964376152</v>
      </c>
      <c r="G148" s="17">
        <f>SUM($D$146:G147)</f>
        <v>-7393988.9092879156</v>
      </c>
      <c r="H148" s="17">
        <f>SUM($D$146:H147)</f>
        <v>-10844316.454614051</v>
      </c>
      <c r="I148" s="17">
        <f>SUM($D$146:I147)</f>
        <v>-14523432.733967142</v>
      </c>
      <c r="J148" s="17">
        <f>SUM($D$146:J147)</f>
        <v>-18305888.408863075</v>
      </c>
      <c r="K148" s="17">
        <f>SUM($D$146:K147)</f>
        <v>-22149136.18633388</v>
      </c>
      <c r="L148" s="17">
        <f>SUM($D$146:L147)</f>
        <v>-26015328.075744338</v>
      </c>
      <c r="M148" s="17">
        <f>SUM($D$146:M147)</f>
        <v>-29897470.245257836</v>
      </c>
      <c r="N148" s="17">
        <f>SUM($D$146:N147)</f>
        <v>-33790211.496501341</v>
      </c>
      <c r="O148" s="17">
        <f>SUM($D$146:O147)</f>
        <v>-37688786.942079723</v>
      </c>
      <c r="P148" s="17">
        <f>SUM($D$146:P147)</f>
        <v>-41591593.235398054</v>
      </c>
      <c r="Q148" s="17">
        <f>SUM($D$146:Q147)</f>
        <v>-45494755.196674481</v>
      </c>
      <c r="R148" s="17">
        <f>SUM($D$146:R147)</f>
        <v>-49399447.486296266</v>
      </c>
    </row>
    <row r="149" spans="1:18">
      <c r="R149" s="17"/>
    </row>
    <row r="150" spans="1:18">
      <c r="C150" s="39"/>
      <c r="D150" s="39" t="s">
        <v>39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15" t="s">
        <v>30</v>
      </c>
      <c r="B151" s="16" t="s">
        <v>0</v>
      </c>
      <c r="C151" s="15"/>
      <c r="D151" s="15">
        <f t="shared" ref="D151:R151" si="95">D$100</f>
        <v>2025</v>
      </c>
      <c r="E151" s="15">
        <f t="shared" si="95"/>
        <v>2026</v>
      </c>
      <c r="F151" s="15">
        <f t="shared" si="95"/>
        <v>2027</v>
      </c>
      <c r="G151" s="15">
        <f t="shared" si="95"/>
        <v>2028</v>
      </c>
      <c r="H151" s="15">
        <f t="shared" si="95"/>
        <v>2029</v>
      </c>
      <c r="I151" s="15">
        <f t="shared" si="95"/>
        <v>2030</v>
      </c>
      <c r="J151" s="15">
        <f t="shared" si="95"/>
        <v>2031</v>
      </c>
      <c r="K151" s="15">
        <f t="shared" si="95"/>
        <v>2032</v>
      </c>
      <c r="L151" s="15">
        <f t="shared" si="95"/>
        <v>2033</v>
      </c>
      <c r="M151" s="15">
        <f t="shared" si="95"/>
        <v>2034</v>
      </c>
      <c r="N151" s="15">
        <f t="shared" si="95"/>
        <v>2035</v>
      </c>
      <c r="O151" s="15">
        <f t="shared" si="95"/>
        <v>2036</v>
      </c>
      <c r="P151" s="15">
        <f t="shared" si="95"/>
        <v>2037</v>
      </c>
      <c r="Q151" s="15">
        <f t="shared" si="95"/>
        <v>2038</v>
      </c>
      <c r="R151" s="15">
        <f t="shared" si="95"/>
        <v>2039</v>
      </c>
    </row>
    <row r="152" spans="1:18">
      <c r="A152" s="18">
        <f>A101</f>
        <v>2025</v>
      </c>
      <c r="B152" s="24">
        <f t="shared" ref="B152:B166" si="96">B128</f>
        <v>3900000</v>
      </c>
      <c r="D152" s="17">
        <f>VLOOKUP(D$100,'Aggregated Median CA data'!$D$126:$M$140,8,0)*$B152</f>
        <v>0</v>
      </c>
      <c r="E152" s="17">
        <f>VLOOKUP(E$100,'Aggregated Median CA data'!$D$126:$M$140,8,0)*$B152</f>
        <v>3000.5571181060814</v>
      </c>
      <c r="F152" s="17">
        <f>VLOOKUP(F$100,'Aggregated Median CA data'!$D$126:$M$140,8,0)*$B152</f>
        <v>82258.166949229009</v>
      </c>
      <c r="G152" s="17">
        <f>VLOOKUP(G$100,'Aggregated Median CA data'!$D$126:$M$140,8,0)*$B152</f>
        <v>333560.05143989291</v>
      </c>
      <c r="H152" s="17">
        <f>VLOOKUP(H$100,'Aggregated Median CA data'!$D$126:$M$140,8,0)*$B152</f>
        <v>653188.93348557851</v>
      </c>
      <c r="I152" s="17">
        <f>VLOOKUP(I$100,'Aggregated Median CA data'!$D$126:$M$140,8,0)*$B152</f>
        <v>715219.05297759338</v>
      </c>
      <c r="J152" s="17">
        <f>VLOOKUP(J$100,'Aggregated Median CA data'!$D$126:$M$140,8,0)*$B152</f>
        <v>970547.62279105966</v>
      </c>
      <c r="K152" s="17">
        <f>VLOOKUP(K$100,'Aggregated Median CA data'!$D$126:$M$140,8,0)*$B152</f>
        <v>944682.42299342935</v>
      </c>
      <c r="L152" s="17">
        <f>VLOOKUP(L$100,'Aggregated Median CA data'!$D$126:$M$140,8,0)*$B152</f>
        <v>773705.95908578869</v>
      </c>
      <c r="M152" s="17">
        <f>VLOOKUP(M$100,'Aggregated Median CA data'!$D$126:$M$140,8,0)*$B152</f>
        <v>573388.43043284176</v>
      </c>
      <c r="N152" s="17">
        <f>VLOOKUP(N$100,'Aggregated Median CA data'!$D$126:$M$140,8,0)*$B152</f>
        <v>593319.8916002562</v>
      </c>
      <c r="O152" s="17">
        <f>VLOOKUP(O$100,'Aggregated Median CA data'!$D$126:$M$140,8,0)*$B152</f>
        <v>321133.60348137782</v>
      </c>
      <c r="P152" s="17">
        <f>VLOOKUP(P$100,'Aggregated Median CA data'!$D$126:$M$140,8,0)*$B152</f>
        <v>248559.63223639978</v>
      </c>
      <c r="Q152" s="17">
        <f>VLOOKUP(Q$100,'Aggregated Median CA data'!$D$126:$M$140,8,0)*$B152</f>
        <v>128921.55042269395</v>
      </c>
      <c r="R152" s="17">
        <f>VLOOKUP(R$100,'Aggregated Median CA data'!$D$126:$M$140,8,0)*$B152</f>
        <v>118160.25406704532</v>
      </c>
    </row>
    <row r="153" spans="1:18">
      <c r="A153" s="18">
        <f t="shared" ref="A153:A166" si="97">A102</f>
        <v>2026</v>
      </c>
      <c r="B153" s="24">
        <f t="shared" si="96"/>
        <v>3900000</v>
      </c>
      <c r="C153" s="22"/>
      <c r="D153" s="22"/>
      <c r="E153" s="17">
        <f>IFERROR((D152/$B152)*$B153,0)</f>
        <v>0</v>
      </c>
      <c r="F153" s="17">
        <f t="shared" ref="F153:R153" si="98">IFERROR((E152/$B152)*$B153,0)</f>
        <v>3000.5571181060814</v>
      </c>
      <c r="G153" s="17">
        <f t="shared" si="98"/>
        <v>82258.166949229009</v>
      </c>
      <c r="H153" s="17">
        <f t="shared" si="98"/>
        <v>333560.05143989291</v>
      </c>
      <c r="I153" s="17">
        <f t="shared" si="98"/>
        <v>653188.93348557851</v>
      </c>
      <c r="J153" s="17">
        <f t="shared" si="98"/>
        <v>715219.05297759338</v>
      </c>
      <c r="K153" s="17">
        <f t="shared" si="98"/>
        <v>970547.62279105966</v>
      </c>
      <c r="L153" s="17">
        <f t="shared" si="98"/>
        <v>944682.42299342935</v>
      </c>
      <c r="M153" s="17">
        <f t="shared" si="98"/>
        <v>773705.95908578869</v>
      </c>
      <c r="N153" s="17">
        <f t="shared" si="98"/>
        <v>573388.43043284176</v>
      </c>
      <c r="O153" s="17">
        <f t="shared" si="98"/>
        <v>593319.8916002562</v>
      </c>
      <c r="P153" s="17">
        <f t="shared" si="98"/>
        <v>321133.60348137782</v>
      </c>
      <c r="Q153" s="17">
        <f t="shared" si="98"/>
        <v>248559.63223639978</v>
      </c>
      <c r="R153" s="17">
        <f t="shared" si="98"/>
        <v>128921.55042269395</v>
      </c>
    </row>
    <row r="154" spans="1:18">
      <c r="A154" s="18">
        <f t="shared" si="97"/>
        <v>2027</v>
      </c>
      <c r="B154" s="24">
        <f t="shared" si="96"/>
        <v>3900000</v>
      </c>
      <c r="C154" s="22"/>
      <c r="D154" s="22"/>
      <c r="E154" s="22"/>
      <c r="F154" s="17">
        <f>IFERROR((E153/$B153)*$B154,0)</f>
        <v>0</v>
      </c>
      <c r="G154" s="17">
        <f t="shared" ref="G154" si="99">IFERROR((F153/$B153)*$B154,0)</f>
        <v>3000.5571181060814</v>
      </c>
      <c r="H154" s="17">
        <f t="shared" ref="H154:H155" si="100">IFERROR((G153/$B153)*$B154,0)</f>
        <v>82258.166949229009</v>
      </c>
      <c r="I154" s="17">
        <f t="shared" ref="I154:I156" si="101">IFERROR((H153/$B153)*$B154,0)</f>
        <v>333560.05143989291</v>
      </c>
      <c r="J154" s="17">
        <f t="shared" ref="J154:J157" si="102">IFERROR((I153/$B153)*$B154,0)</f>
        <v>653188.93348557851</v>
      </c>
      <c r="K154" s="17">
        <f t="shared" ref="K154:K158" si="103">IFERROR((J153/$B153)*$B154,0)</f>
        <v>715219.05297759338</v>
      </c>
      <c r="L154" s="17">
        <f t="shared" ref="L154:L159" si="104">IFERROR((K153/$B153)*$B154,0)</f>
        <v>970547.62279105966</v>
      </c>
      <c r="M154" s="17">
        <f t="shared" ref="M154:M160" si="105">IFERROR((L153/$B153)*$B154,0)</f>
        <v>944682.42299342935</v>
      </c>
      <c r="N154" s="17">
        <f t="shared" ref="N154:N161" si="106">IFERROR((M153/$B153)*$B154,0)</f>
        <v>773705.95908578869</v>
      </c>
      <c r="O154" s="17">
        <f t="shared" ref="O154:O162" si="107">IFERROR((N153/$B153)*$B154,0)</f>
        <v>573388.43043284176</v>
      </c>
      <c r="P154" s="17">
        <f t="shared" ref="P154:P163" si="108">IFERROR((O153/$B153)*$B154,0)</f>
        <v>593319.8916002562</v>
      </c>
      <c r="Q154" s="17">
        <f t="shared" ref="Q154:Q164" si="109">IFERROR((P153/$B153)*$B154,0)</f>
        <v>321133.60348137782</v>
      </c>
      <c r="R154" s="17">
        <f t="shared" ref="R154:R165" si="110">IFERROR((Q153/$B153)*$B154,0)</f>
        <v>248559.63223639978</v>
      </c>
    </row>
    <row r="155" spans="1:18">
      <c r="A155" s="18">
        <f t="shared" si="97"/>
        <v>2028</v>
      </c>
      <c r="B155" s="24">
        <f t="shared" si="96"/>
        <v>3900000</v>
      </c>
      <c r="C155" s="22"/>
      <c r="D155" s="22"/>
      <c r="E155" s="22"/>
      <c r="F155" s="22"/>
      <c r="G155" s="17">
        <f>IFERROR((F154/$B154)*$B155,0)</f>
        <v>0</v>
      </c>
      <c r="H155" s="17">
        <f t="shared" si="100"/>
        <v>3000.5571181060814</v>
      </c>
      <c r="I155" s="17">
        <f t="shared" si="101"/>
        <v>82258.166949229009</v>
      </c>
      <c r="J155" s="17">
        <f t="shared" si="102"/>
        <v>333560.05143989291</v>
      </c>
      <c r="K155" s="17">
        <f t="shared" si="103"/>
        <v>653188.93348557851</v>
      </c>
      <c r="L155" s="17">
        <f t="shared" si="104"/>
        <v>715219.05297759338</v>
      </c>
      <c r="M155" s="17">
        <f t="shared" si="105"/>
        <v>970547.62279105966</v>
      </c>
      <c r="N155" s="17">
        <f t="shared" si="106"/>
        <v>944682.42299342935</v>
      </c>
      <c r="O155" s="17">
        <f t="shared" si="107"/>
        <v>773705.95908578869</v>
      </c>
      <c r="P155" s="17">
        <f t="shared" si="108"/>
        <v>573388.43043284176</v>
      </c>
      <c r="Q155" s="17">
        <f t="shared" si="109"/>
        <v>593319.8916002562</v>
      </c>
      <c r="R155" s="17">
        <f t="shared" si="110"/>
        <v>321133.60348137782</v>
      </c>
    </row>
    <row r="156" spans="1:18">
      <c r="A156" s="18">
        <f t="shared" si="97"/>
        <v>2029</v>
      </c>
      <c r="B156" s="24">
        <f t="shared" si="96"/>
        <v>3900000</v>
      </c>
      <c r="C156" s="22"/>
      <c r="D156" s="22"/>
      <c r="E156" s="22"/>
      <c r="F156" s="22"/>
      <c r="G156" s="22"/>
      <c r="H156" s="17">
        <f>IFERROR((G155/$B155)*$B156,0)</f>
        <v>0</v>
      </c>
      <c r="I156" s="17">
        <f t="shared" si="101"/>
        <v>3000.5571181060814</v>
      </c>
      <c r="J156" s="17">
        <f t="shared" si="102"/>
        <v>82258.166949229009</v>
      </c>
      <c r="K156" s="17">
        <f t="shared" si="103"/>
        <v>333560.05143989291</v>
      </c>
      <c r="L156" s="17">
        <f t="shared" si="104"/>
        <v>653188.93348557851</v>
      </c>
      <c r="M156" s="17">
        <f t="shared" si="105"/>
        <v>715219.05297759338</v>
      </c>
      <c r="N156" s="17">
        <f t="shared" si="106"/>
        <v>970547.62279105966</v>
      </c>
      <c r="O156" s="17">
        <f t="shared" si="107"/>
        <v>944682.42299342935</v>
      </c>
      <c r="P156" s="17">
        <f t="shared" si="108"/>
        <v>773705.95908578869</v>
      </c>
      <c r="Q156" s="17">
        <f t="shared" si="109"/>
        <v>573388.43043284176</v>
      </c>
      <c r="R156" s="17">
        <f t="shared" si="110"/>
        <v>593319.8916002562</v>
      </c>
    </row>
    <row r="157" spans="1:18">
      <c r="A157" s="18">
        <f t="shared" si="97"/>
        <v>2030</v>
      </c>
      <c r="B157" s="24">
        <f t="shared" si="96"/>
        <v>3900000</v>
      </c>
      <c r="C157" s="22"/>
      <c r="D157" s="22"/>
      <c r="E157" s="22"/>
      <c r="F157" s="22"/>
      <c r="G157" s="22"/>
      <c r="H157" s="22"/>
      <c r="I157" s="17">
        <f>IFERROR((H156/$B156)*$B157,0)</f>
        <v>0</v>
      </c>
      <c r="J157" s="17">
        <f t="shared" si="102"/>
        <v>3000.5571181060814</v>
      </c>
      <c r="K157" s="17">
        <f t="shared" si="103"/>
        <v>82258.166949229009</v>
      </c>
      <c r="L157" s="17">
        <f t="shared" si="104"/>
        <v>333560.05143989291</v>
      </c>
      <c r="M157" s="17">
        <f t="shared" si="105"/>
        <v>653188.93348557851</v>
      </c>
      <c r="N157" s="17">
        <f t="shared" si="106"/>
        <v>715219.05297759338</v>
      </c>
      <c r="O157" s="17">
        <f t="shared" si="107"/>
        <v>970547.62279105966</v>
      </c>
      <c r="P157" s="17">
        <f t="shared" si="108"/>
        <v>944682.42299342935</v>
      </c>
      <c r="Q157" s="17">
        <f t="shared" si="109"/>
        <v>773705.95908578869</v>
      </c>
      <c r="R157" s="17">
        <f t="shared" si="110"/>
        <v>573388.43043284176</v>
      </c>
    </row>
    <row r="158" spans="1:18">
      <c r="A158" s="18">
        <f t="shared" si="97"/>
        <v>2031</v>
      </c>
      <c r="B158" s="24">
        <f t="shared" si="96"/>
        <v>3900000</v>
      </c>
      <c r="C158" s="22"/>
      <c r="D158" s="22"/>
      <c r="E158" s="22"/>
      <c r="F158" s="22"/>
      <c r="G158" s="22"/>
      <c r="H158" s="22"/>
      <c r="I158" s="22"/>
      <c r="J158" s="17">
        <f>IFERROR((I157/$B157)*$B158,0)</f>
        <v>0</v>
      </c>
      <c r="K158" s="17">
        <f t="shared" si="103"/>
        <v>3000.5571181060814</v>
      </c>
      <c r="L158" s="17">
        <f t="shared" si="104"/>
        <v>82258.166949229009</v>
      </c>
      <c r="M158" s="17">
        <f t="shared" si="105"/>
        <v>333560.05143989291</v>
      </c>
      <c r="N158" s="17">
        <f t="shared" si="106"/>
        <v>653188.93348557851</v>
      </c>
      <c r="O158" s="17">
        <f t="shared" si="107"/>
        <v>715219.05297759338</v>
      </c>
      <c r="P158" s="17">
        <f t="shared" si="108"/>
        <v>970547.62279105966</v>
      </c>
      <c r="Q158" s="17">
        <f t="shared" si="109"/>
        <v>944682.42299342935</v>
      </c>
      <c r="R158" s="17">
        <f t="shared" si="110"/>
        <v>773705.95908578869</v>
      </c>
    </row>
    <row r="159" spans="1:18">
      <c r="A159" s="18">
        <f t="shared" si="97"/>
        <v>2032</v>
      </c>
      <c r="B159" s="24">
        <f t="shared" si="96"/>
        <v>3900000</v>
      </c>
      <c r="K159" s="17">
        <f>IFERROR((J158/$B158)*$B159,0)</f>
        <v>0</v>
      </c>
      <c r="L159" s="17">
        <f t="shared" si="104"/>
        <v>3000.5571181060814</v>
      </c>
      <c r="M159" s="17">
        <f t="shared" si="105"/>
        <v>82258.166949229009</v>
      </c>
      <c r="N159" s="17">
        <f t="shared" si="106"/>
        <v>333560.05143989291</v>
      </c>
      <c r="O159" s="17">
        <f t="shared" si="107"/>
        <v>653188.93348557851</v>
      </c>
      <c r="P159" s="17">
        <f t="shared" si="108"/>
        <v>715219.05297759338</v>
      </c>
      <c r="Q159" s="17">
        <f t="shared" si="109"/>
        <v>970547.62279105966</v>
      </c>
      <c r="R159" s="17">
        <f t="shared" si="110"/>
        <v>944682.42299342935</v>
      </c>
    </row>
    <row r="160" spans="1:18">
      <c r="A160" s="18">
        <f t="shared" si="97"/>
        <v>2033</v>
      </c>
      <c r="B160" s="24">
        <f t="shared" si="96"/>
        <v>3900000</v>
      </c>
      <c r="L160" s="17">
        <f>IFERROR((K159/$B159)*$B160,0)</f>
        <v>0</v>
      </c>
      <c r="M160" s="17">
        <f t="shared" si="105"/>
        <v>3000.5571181060814</v>
      </c>
      <c r="N160" s="17">
        <f t="shared" si="106"/>
        <v>82258.166949229009</v>
      </c>
      <c r="O160" s="17">
        <f t="shared" si="107"/>
        <v>333560.05143989291</v>
      </c>
      <c r="P160" s="17">
        <f t="shared" si="108"/>
        <v>653188.93348557851</v>
      </c>
      <c r="Q160" s="17">
        <f t="shared" si="109"/>
        <v>715219.05297759338</v>
      </c>
      <c r="R160" s="17">
        <f t="shared" si="110"/>
        <v>970547.62279105966</v>
      </c>
    </row>
    <row r="161" spans="1:18">
      <c r="A161" s="18">
        <f t="shared" si="97"/>
        <v>2034</v>
      </c>
      <c r="B161" s="24">
        <f t="shared" si="96"/>
        <v>3900000</v>
      </c>
      <c r="M161" s="17">
        <f>IFERROR((L160/$B160)*$B161,0)</f>
        <v>0</v>
      </c>
      <c r="N161" s="17">
        <f t="shared" si="106"/>
        <v>3000.5571181060814</v>
      </c>
      <c r="O161" s="17">
        <f t="shared" si="107"/>
        <v>82258.166949229009</v>
      </c>
      <c r="P161" s="17">
        <f t="shared" si="108"/>
        <v>333560.05143989291</v>
      </c>
      <c r="Q161" s="17">
        <f t="shared" si="109"/>
        <v>653188.93348557851</v>
      </c>
      <c r="R161" s="17">
        <f t="shared" si="110"/>
        <v>715219.05297759338</v>
      </c>
    </row>
    <row r="162" spans="1:18">
      <c r="A162" s="18">
        <f t="shared" si="97"/>
        <v>2035</v>
      </c>
      <c r="B162" s="24">
        <f t="shared" si="96"/>
        <v>3900000</v>
      </c>
      <c r="N162" s="17">
        <f>IFERROR((M161/$B161)*$B162,0)</f>
        <v>0</v>
      </c>
      <c r="O162" s="17">
        <f t="shared" si="107"/>
        <v>3000.5571181060814</v>
      </c>
      <c r="P162" s="17">
        <f t="shared" si="108"/>
        <v>82258.166949229009</v>
      </c>
      <c r="Q162" s="17">
        <f t="shared" si="109"/>
        <v>333560.05143989291</v>
      </c>
      <c r="R162" s="17">
        <f t="shared" si="110"/>
        <v>653188.93348557851</v>
      </c>
    </row>
    <row r="163" spans="1:18">
      <c r="A163" s="18">
        <f t="shared" si="97"/>
        <v>2036</v>
      </c>
      <c r="B163" s="24">
        <f t="shared" si="96"/>
        <v>3900000</v>
      </c>
      <c r="O163" s="17">
        <f>IFERROR((N162/$B162)*$B163,0)</f>
        <v>0</v>
      </c>
      <c r="P163" s="17">
        <f t="shared" si="108"/>
        <v>3000.5571181060814</v>
      </c>
      <c r="Q163" s="17">
        <f t="shared" si="109"/>
        <v>82258.166949229009</v>
      </c>
      <c r="R163" s="17">
        <f t="shared" si="110"/>
        <v>333560.05143989291</v>
      </c>
    </row>
    <row r="164" spans="1:18">
      <c r="A164" s="18">
        <f t="shared" si="97"/>
        <v>2037</v>
      </c>
      <c r="B164" s="24">
        <f t="shared" si="96"/>
        <v>3900000</v>
      </c>
      <c r="P164" s="17">
        <f>IFERROR((O163/$B163)*$B164,0)</f>
        <v>0</v>
      </c>
      <c r="Q164" s="17">
        <f t="shared" si="109"/>
        <v>3000.5571181060814</v>
      </c>
      <c r="R164" s="17">
        <f t="shared" si="110"/>
        <v>82258.166949229009</v>
      </c>
    </row>
    <row r="165" spans="1:18">
      <c r="A165" s="18">
        <f t="shared" si="97"/>
        <v>2038</v>
      </c>
      <c r="B165" s="24">
        <f t="shared" si="96"/>
        <v>3900000</v>
      </c>
      <c r="Q165" s="17">
        <f>IFERROR((P164/$B164)*$B165,0)</f>
        <v>0</v>
      </c>
      <c r="R165" s="17">
        <f t="shared" si="110"/>
        <v>3000.5571181060814</v>
      </c>
    </row>
    <row r="166" spans="1:18">
      <c r="A166" s="18">
        <f t="shared" si="97"/>
        <v>2039</v>
      </c>
      <c r="B166" s="24">
        <f t="shared" si="96"/>
        <v>3900000</v>
      </c>
      <c r="Q166" s="22"/>
      <c r="R166" s="17">
        <f>IFERROR((Q165/$B165)*$B166,0)</f>
        <v>0</v>
      </c>
    </row>
    <row r="167" spans="1:18">
      <c r="R167" s="17"/>
    </row>
    <row r="168" spans="1:18">
      <c r="A168" s="21" t="s">
        <v>33</v>
      </c>
      <c r="C168" s="20"/>
      <c r="D168" s="20">
        <f>SUM(D152:D166)</f>
        <v>0</v>
      </c>
      <c r="E168" s="20">
        <f t="shared" ref="E168:R168" si="111">SUM(E152:E166)</f>
        <v>3000.5571181060814</v>
      </c>
      <c r="F168" s="20">
        <f t="shared" si="111"/>
        <v>85258.72406733509</v>
      </c>
      <c r="G168" s="20">
        <f t="shared" si="111"/>
        <v>418818.77550722804</v>
      </c>
      <c r="H168" s="20">
        <f t="shared" si="111"/>
        <v>1072007.7089928067</v>
      </c>
      <c r="I168" s="20">
        <f t="shared" si="111"/>
        <v>1787226.7619704001</v>
      </c>
      <c r="J168" s="20">
        <f t="shared" si="111"/>
        <v>2757774.3847614597</v>
      </c>
      <c r="K168" s="20">
        <f t="shared" si="111"/>
        <v>3702456.8077548887</v>
      </c>
      <c r="L168" s="20">
        <f t="shared" si="111"/>
        <v>4476162.7668406777</v>
      </c>
      <c r="M168" s="20">
        <f t="shared" si="111"/>
        <v>5049551.1972735189</v>
      </c>
      <c r="N168" s="20">
        <f t="shared" si="111"/>
        <v>5642871.0888737757</v>
      </c>
      <c r="O168" s="20">
        <f t="shared" si="111"/>
        <v>5964004.6923551532</v>
      </c>
      <c r="P168" s="20">
        <f t="shared" si="111"/>
        <v>6212564.3245915528</v>
      </c>
      <c r="Q168" s="20">
        <f t="shared" si="111"/>
        <v>6341485.8750142474</v>
      </c>
      <c r="R168" s="20">
        <f t="shared" si="111"/>
        <v>6459646.1290812921</v>
      </c>
    </row>
    <row r="169" spans="1:18">
      <c r="A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</row>
    <row r="170" spans="1:18">
      <c r="A170" s="21" t="s">
        <v>307</v>
      </c>
      <c r="C170" s="20"/>
      <c r="D170" s="20">
        <f>SUM(D168,D89,D65,D41)</f>
        <v>0</v>
      </c>
      <c r="E170" s="20">
        <f t="shared" ref="E170:R170" si="112">SUM(E168,E89,E65,E41)</f>
        <v>3000.5571181060814</v>
      </c>
      <c r="F170" s="20">
        <f t="shared" si="112"/>
        <v>85258.72406733509</v>
      </c>
      <c r="G170" s="20">
        <f t="shared" si="112"/>
        <v>418818.77550722804</v>
      </c>
      <c r="H170" s="20">
        <f t="shared" si="112"/>
        <v>1072007.7089928067</v>
      </c>
      <c r="I170" s="20">
        <f t="shared" si="112"/>
        <v>1787226.7619704001</v>
      </c>
      <c r="J170" s="20">
        <f t="shared" si="112"/>
        <v>2757774.3847614597</v>
      </c>
      <c r="K170" s="20">
        <f t="shared" si="112"/>
        <v>3702456.8077548887</v>
      </c>
      <c r="L170" s="20">
        <f t="shared" si="112"/>
        <v>4476162.7668406777</v>
      </c>
      <c r="M170" s="20">
        <f t="shared" si="112"/>
        <v>5049551.1972735189</v>
      </c>
      <c r="N170" s="20">
        <f t="shared" si="112"/>
        <v>5642871.0888737757</v>
      </c>
      <c r="O170" s="20">
        <f t="shared" si="112"/>
        <v>5964004.6923551532</v>
      </c>
      <c r="P170" s="20">
        <f t="shared" si="112"/>
        <v>6212564.3245915528</v>
      </c>
      <c r="Q170" s="20">
        <f t="shared" si="112"/>
        <v>6341485.8750142474</v>
      </c>
      <c r="R170" s="20">
        <f t="shared" si="112"/>
        <v>6459646.1290812921</v>
      </c>
    </row>
    <row r="171" spans="1:18">
      <c r="A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</row>
    <row r="172" spans="1:18">
      <c r="A172" s="21" t="s">
        <v>315</v>
      </c>
      <c r="C172" s="20"/>
      <c r="D172" s="20">
        <f>D170</f>
        <v>0</v>
      </c>
      <c r="E172" s="20">
        <f>SUM($D$170:E170)</f>
        <v>3000.5571181060814</v>
      </c>
      <c r="F172" s="20">
        <f>SUM($D$170:F170)</f>
        <v>88259.28118544117</v>
      </c>
      <c r="G172" s="20">
        <f>SUM($D$170:G170)</f>
        <v>507078.05669266923</v>
      </c>
      <c r="H172" s="20">
        <f>SUM($D$170:H170)</f>
        <v>1579085.7656854759</v>
      </c>
      <c r="I172" s="20">
        <f>SUM($D$170:I170)</f>
        <v>3366312.5276558762</v>
      </c>
      <c r="J172" s="20">
        <f>SUM($D$170:J170)</f>
        <v>6124086.9124173354</v>
      </c>
      <c r="K172" s="20">
        <f>SUM($D$170:K170)</f>
        <v>9826543.7201722246</v>
      </c>
      <c r="L172" s="20">
        <f>SUM($D$170:L170)</f>
        <v>14302706.487012902</v>
      </c>
      <c r="M172" s="20">
        <f>SUM($D$170:M170)</f>
        <v>19352257.684286423</v>
      </c>
      <c r="N172" s="20">
        <f>SUM($D$170:N170)</f>
        <v>24995128.773160197</v>
      </c>
      <c r="O172" s="20">
        <f>SUM($D$170:O170)</f>
        <v>30959133.465515349</v>
      </c>
      <c r="P172" s="20">
        <f>SUM($D$170:P170)</f>
        <v>37171697.7901069</v>
      </c>
      <c r="Q172" s="20">
        <f>SUM($D$170:Q170)</f>
        <v>43513183.665121146</v>
      </c>
      <c r="R172" s="20">
        <f>SUM($D$170:R170)</f>
        <v>49972829.794202439</v>
      </c>
    </row>
    <row r="173" spans="1:18">
      <c r="R173" s="17"/>
    </row>
    <row r="174" spans="1:18">
      <c r="C174" s="39"/>
      <c r="D174" s="39" t="s">
        <v>2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15" t="s">
        <v>30</v>
      </c>
      <c r="B175" s="16" t="s">
        <v>0</v>
      </c>
      <c r="C175" s="15"/>
      <c r="D175" s="15">
        <f t="shared" ref="D175:R175" si="113">D$100</f>
        <v>2025</v>
      </c>
      <c r="E175" s="15">
        <f t="shared" si="113"/>
        <v>2026</v>
      </c>
      <c r="F175" s="15">
        <f t="shared" si="113"/>
        <v>2027</v>
      </c>
      <c r="G175" s="15">
        <f t="shared" si="113"/>
        <v>2028</v>
      </c>
      <c r="H175" s="15">
        <f t="shared" si="113"/>
        <v>2029</v>
      </c>
      <c r="I175" s="15">
        <f t="shared" si="113"/>
        <v>2030</v>
      </c>
      <c r="J175" s="15">
        <f t="shared" si="113"/>
        <v>2031</v>
      </c>
      <c r="K175" s="15">
        <f t="shared" si="113"/>
        <v>2032</v>
      </c>
      <c r="L175" s="15">
        <f t="shared" si="113"/>
        <v>2033</v>
      </c>
      <c r="M175" s="15">
        <f t="shared" si="113"/>
        <v>2034</v>
      </c>
      <c r="N175" s="15">
        <f t="shared" si="113"/>
        <v>2035</v>
      </c>
      <c r="O175" s="15">
        <f t="shared" si="113"/>
        <v>2036</v>
      </c>
      <c r="P175" s="15">
        <f t="shared" si="113"/>
        <v>2037</v>
      </c>
      <c r="Q175" s="15">
        <f t="shared" si="113"/>
        <v>2038</v>
      </c>
      <c r="R175" s="15">
        <f t="shared" si="113"/>
        <v>2039</v>
      </c>
    </row>
    <row r="176" spans="1:18">
      <c r="A176" s="18">
        <f t="shared" ref="A176:A190" si="114">A101</f>
        <v>2025</v>
      </c>
      <c r="B176" s="24">
        <f t="shared" ref="B176:B190" si="115">B152</f>
        <v>3900000</v>
      </c>
      <c r="D176" s="17">
        <f>VLOOKUP(D$100,'Aggregated Median CA data'!$D$126:$M$140,9,0)*$B176</f>
        <v>-672096.06203262624</v>
      </c>
      <c r="E176" s="17">
        <f>VLOOKUP(E$100,'Aggregated Median CA data'!$D$126:$M$140,9,0)*$B176</f>
        <v>-771525.49875655223</v>
      </c>
      <c r="F176" s="17">
        <f>VLOOKUP(F$100,'Aggregated Median CA data'!$D$126:$M$140,9,0)*$B176</f>
        <v>-747080.43164119113</v>
      </c>
      <c r="G176" s="17">
        <f>VLOOKUP(G$100,'Aggregated Median CA data'!$D$126:$M$140,9,0)*$B176</f>
        <v>-389789.24491270311</v>
      </c>
      <c r="H176" s="17">
        <f>VLOOKUP(H$100,'Aggregated Median CA data'!$D$126:$M$140,9,0)*$B176</f>
        <v>202171.40100974514</v>
      </c>
      <c r="I176" s="17">
        <f>VLOOKUP(I$100,'Aggregated Median CA data'!$D$126:$M$140,9,0)*$B176</f>
        <v>486430.31895063573</v>
      </c>
      <c r="J176" s="17">
        <f>VLOOKUP(J$100,'Aggregated Median CA data'!$D$126:$M$140,9,0)*$B176</f>
        <v>867208.22724822059</v>
      </c>
      <c r="K176" s="17">
        <f>VLOOKUP(K$100,'Aggregated Median CA data'!$D$126:$M$140,9,0)*$B176</f>
        <v>883890.32041855541</v>
      </c>
      <c r="L176" s="17">
        <f>VLOOKUP(L$100,'Aggregated Median CA data'!$D$126:$M$140,9,0)*$B176</f>
        <v>750761.84714613482</v>
      </c>
      <c r="M176" s="17">
        <f>VLOOKUP(M$100,'Aggregated Median CA data'!$D$126:$M$140,9,0)*$B176</f>
        <v>557438.15032980207</v>
      </c>
      <c r="N176" s="17">
        <f>VLOOKUP(N$100,'Aggregated Median CA data'!$D$126:$M$140,9,0)*$B176</f>
        <v>582720.8098702468</v>
      </c>
      <c r="O176" s="17">
        <f>VLOOKUP(O$100,'Aggregated Median CA data'!$D$126:$M$140,9,0)*$B176</f>
        <v>315299.40914650343</v>
      </c>
      <c r="P176" s="17">
        <f>VLOOKUP(P$100,'Aggregated Median CA data'!$D$126:$M$140,9,0)*$B176</f>
        <v>244328.78449645071</v>
      </c>
      <c r="Q176" s="17">
        <f>VLOOKUP(Q$100,'Aggregated Median CA data'!$D$126:$M$140,9,0)*$B176</f>
        <v>128565.88246460153</v>
      </c>
      <c r="R176" s="17">
        <f>VLOOKUP(R$100,'Aggregated Median CA data'!$D$126:$M$140,9,0)*$B176</f>
        <v>116629.92572168265</v>
      </c>
    </row>
    <row r="177" spans="1:18">
      <c r="A177" s="18">
        <f t="shared" si="114"/>
        <v>2026</v>
      </c>
      <c r="B177" s="24">
        <f t="shared" si="115"/>
        <v>3900000</v>
      </c>
      <c r="C177" s="22"/>
      <c r="D177" s="22"/>
      <c r="E177" s="17">
        <f>IFERROR((D176/$B176)*$B177,0)</f>
        <v>-672096.06203262624</v>
      </c>
      <c r="F177" s="17">
        <f t="shared" ref="F177:R177" si="116">IFERROR((E176/$B176)*$B177,0)</f>
        <v>-771525.49875655223</v>
      </c>
      <c r="G177" s="17">
        <f t="shared" si="116"/>
        <v>-747080.43164119113</v>
      </c>
      <c r="H177" s="17">
        <f t="shared" si="116"/>
        <v>-389789.24491270311</v>
      </c>
      <c r="I177" s="17">
        <f t="shared" si="116"/>
        <v>202171.40100974514</v>
      </c>
      <c r="J177" s="17">
        <f t="shared" si="116"/>
        <v>486430.31895063573</v>
      </c>
      <c r="K177" s="17">
        <f t="shared" si="116"/>
        <v>867208.22724822059</v>
      </c>
      <c r="L177" s="17">
        <f t="shared" si="116"/>
        <v>883890.32041855541</v>
      </c>
      <c r="M177" s="17">
        <f t="shared" si="116"/>
        <v>750761.84714613482</v>
      </c>
      <c r="N177" s="17">
        <f t="shared" si="116"/>
        <v>557438.15032980207</v>
      </c>
      <c r="O177" s="17">
        <f t="shared" si="116"/>
        <v>582720.8098702468</v>
      </c>
      <c r="P177" s="17">
        <f t="shared" si="116"/>
        <v>315299.40914650343</v>
      </c>
      <c r="Q177" s="17">
        <f t="shared" si="116"/>
        <v>244328.78449645071</v>
      </c>
      <c r="R177" s="17">
        <f t="shared" si="116"/>
        <v>128565.88246460153</v>
      </c>
    </row>
    <row r="178" spans="1:18">
      <c r="A178" s="18">
        <f t="shared" si="114"/>
        <v>2027</v>
      </c>
      <c r="B178" s="24">
        <f t="shared" si="115"/>
        <v>3900000</v>
      </c>
      <c r="C178" s="22"/>
      <c r="D178" s="22"/>
      <c r="E178" s="22"/>
      <c r="F178" s="17">
        <f>IFERROR((E177/$B177)*$B178,0)</f>
        <v>-672096.06203262624</v>
      </c>
      <c r="G178" s="17">
        <f t="shared" ref="G178" si="117">IFERROR((F177/$B177)*$B178,0)</f>
        <v>-771525.49875655223</v>
      </c>
      <c r="H178" s="17">
        <f t="shared" ref="H178:H179" si="118">IFERROR((G177/$B177)*$B178,0)</f>
        <v>-747080.43164119113</v>
      </c>
      <c r="I178" s="17">
        <f t="shared" ref="I178:I180" si="119">IFERROR((H177/$B177)*$B178,0)</f>
        <v>-389789.24491270311</v>
      </c>
      <c r="J178" s="17">
        <f t="shared" ref="J178:J181" si="120">IFERROR((I177/$B177)*$B178,0)</f>
        <v>202171.40100974514</v>
      </c>
      <c r="K178" s="17">
        <f t="shared" ref="K178:K182" si="121">IFERROR((J177/$B177)*$B178,0)</f>
        <v>486430.31895063573</v>
      </c>
      <c r="L178" s="17">
        <f t="shared" ref="L178:L183" si="122">IFERROR((K177/$B177)*$B178,0)</f>
        <v>867208.22724822059</v>
      </c>
      <c r="M178" s="17">
        <f t="shared" ref="M178:M184" si="123">IFERROR((L177/$B177)*$B178,0)</f>
        <v>883890.32041855541</v>
      </c>
      <c r="N178" s="17">
        <f t="shared" ref="N178:N185" si="124">IFERROR((M177/$B177)*$B178,0)</f>
        <v>750761.84714613482</v>
      </c>
      <c r="O178" s="17">
        <f t="shared" ref="O178:O186" si="125">IFERROR((N177/$B177)*$B178,0)</f>
        <v>557438.15032980207</v>
      </c>
      <c r="P178" s="17">
        <f t="shared" ref="P178:P187" si="126">IFERROR((O177/$B177)*$B178,0)</f>
        <v>582720.8098702468</v>
      </c>
      <c r="Q178" s="17">
        <f t="shared" ref="Q178:Q188" si="127">IFERROR((P177/$B177)*$B178,0)</f>
        <v>315299.40914650343</v>
      </c>
      <c r="R178" s="17">
        <f t="shared" ref="R178:R189" si="128">IFERROR((Q177/$B177)*$B178,0)</f>
        <v>244328.78449645071</v>
      </c>
    </row>
    <row r="179" spans="1:18">
      <c r="A179" s="18">
        <f t="shared" si="114"/>
        <v>2028</v>
      </c>
      <c r="B179" s="24">
        <f t="shared" si="115"/>
        <v>3900000</v>
      </c>
      <c r="C179" s="22"/>
      <c r="D179" s="22"/>
      <c r="E179" s="22"/>
      <c r="F179" s="22"/>
      <c r="G179" s="17">
        <f>IFERROR((F178/$B178)*$B179,0)</f>
        <v>-672096.06203262624</v>
      </c>
      <c r="H179" s="17">
        <f t="shared" si="118"/>
        <v>-771525.49875655223</v>
      </c>
      <c r="I179" s="17">
        <f t="shared" si="119"/>
        <v>-747080.43164119113</v>
      </c>
      <c r="J179" s="17">
        <f t="shared" si="120"/>
        <v>-389789.24491270311</v>
      </c>
      <c r="K179" s="17">
        <f t="shared" si="121"/>
        <v>202171.40100974514</v>
      </c>
      <c r="L179" s="17">
        <f t="shared" si="122"/>
        <v>486430.31895063573</v>
      </c>
      <c r="M179" s="17">
        <f t="shared" si="123"/>
        <v>867208.22724822059</v>
      </c>
      <c r="N179" s="17">
        <f t="shared" si="124"/>
        <v>883890.32041855541</v>
      </c>
      <c r="O179" s="17">
        <f t="shared" si="125"/>
        <v>750761.84714613482</v>
      </c>
      <c r="P179" s="17">
        <f t="shared" si="126"/>
        <v>557438.15032980207</v>
      </c>
      <c r="Q179" s="17">
        <f t="shared" si="127"/>
        <v>582720.8098702468</v>
      </c>
      <c r="R179" s="17">
        <f t="shared" si="128"/>
        <v>315299.40914650343</v>
      </c>
    </row>
    <row r="180" spans="1:18">
      <c r="A180" s="18">
        <f t="shared" si="114"/>
        <v>2029</v>
      </c>
      <c r="B180" s="24">
        <f t="shared" si="115"/>
        <v>3900000</v>
      </c>
      <c r="C180" s="22"/>
      <c r="D180" s="22"/>
      <c r="E180" s="22"/>
      <c r="F180" s="22"/>
      <c r="G180" s="22"/>
      <c r="H180" s="17">
        <f>IFERROR((G179/$B179)*$B180,0)</f>
        <v>-672096.06203262624</v>
      </c>
      <c r="I180" s="17">
        <f t="shared" si="119"/>
        <v>-771525.49875655223</v>
      </c>
      <c r="J180" s="17">
        <f t="shared" si="120"/>
        <v>-747080.43164119113</v>
      </c>
      <c r="K180" s="17">
        <f t="shared" si="121"/>
        <v>-389789.24491270311</v>
      </c>
      <c r="L180" s="17">
        <f t="shared" si="122"/>
        <v>202171.40100974514</v>
      </c>
      <c r="M180" s="17">
        <f t="shared" si="123"/>
        <v>486430.31895063573</v>
      </c>
      <c r="N180" s="17">
        <f t="shared" si="124"/>
        <v>867208.22724822059</v>
      </c>
      <c r="O180" s="17">
        <f t="shared" si="125"/>
        <v>883890.32041855541</v>
      </c>
      <c r="P180" s="17">
        <f t="shared" si="126"/>
        <v>750761.84714613482</v>
      </c>
      <c r="Q180" s="17">
        <f t="shared" si="127"/>
        <v>557438.15032980207</v>
      </c>
      <c r="R180" s="17">
        <f t="shared" si="128"/>
        <v>582720.8098702468</v>
      </c>
    </row>
    <row r="181" spans="1:18">
      <c r="A181" s="18">
        <f t="shared" si="114"/>
        <v>2030</v>
      </c>
      <c r="B181" s="24">
        <f t="shared" si="115"/>
        <v>3900000</v>
      </c>
      <c r="C181" s="22"/>
      <c r="D181" s="22"/>
      <c r="E181" s="22"/>
      <c r="F181" s="22"/>
      <c r="G181" s="22"/>
      <c r="H181" s="22"/>
      <c r="I181" s="17">
        <f>IFERROR((H180/$B180)*$B181,0)</f>
        <v>-672096.06203262624</v>
      </c>
      <c r="J181" s="17">
        <f t="shared" si="120"/>
        <v>-771525.49875655223</v>
      </c>
      <c r="K181" s="17">
        <f t="shared" si="121"/>
        <v>-747080.43164119113</v>
      </c>
      <c r="L181" s="17">
        <f t="shared" si="122"/>
        <v>-389789.24491270311</v>
      </c>
      <c r="M181" s="17">
        <f t="shared" si="123"/>
        <v>202171.40100974514</v>
      </c>
      <c r="N181" s="17">
        <f t="shared" si="124"/>
        <v>486430.31895063573</v>
      </c>
      <c r="O181" s="17">
        <f t="shared" si="125"/>
        <v>867208.22724822059</v>
      </c>
      <c r="P181" s="17">
        <f t="shared" si="126"/>
        <v>883890.32041855541</v>
      </c>
      <c r="Q181" s="17">
        <f t="shared" si="127"/>
        <v>750761.84714613482</v>
      </c>
      <c r="R181" s="17">
        <f t="shared" si="128"/>
        <v>557438.15032980207</v>
      </c>
    </row>
    <row r="182" spans="1:18">
      <c r="A182" s="18">
        <f t="shared" si="114"/>
        <v>2031</v>
      </c>
      <c r="B182" s="24">
        <f t="shared" si="115"/>
        <v>3900000</v>
      </c>
      <c r="C182" s="22"/>
      <c r="D182" s="22"/>
      <c r="E182" s="22"/>
      <c r="F182" s="22"/>
      <c r="G182" s="22"/>
      <c r="H182" s="22"/>
      <c r="I182" s="22"/>
      <c r="J182" s="17">
        <f>IFERROR((I181/$B181)*$B182,0)</f>
        <v>-672096.06203262624</v>
      </c>
      <c r="K182" s="17">
        <f t="shared" si="121"/>
        <v>-771525.49875655223</v>
      </c>
      <c r="L182" s="17">
        <f t="shared" si="122"/>
        <v>-747080.43164119113</v>
      </c>
      <c r="M182" s="17">
        <f t="shared" si="123"/>
        <v>-389789.24491270311</v>
      </c>
      <c r="N182" s="17">
        <f t="shared" si="124"/>
        <v>202171.40100974514</v>
      </c>
      <c r="O182" s="17">
        <f t="shared" si="125"/>
        <v>486430.31895063573</v>
      </c>
      <c r="P182" s="17">
        <f t="shared" si="126"/>
        <v>867208.22724822059</v>
      </c>
      <c r="Q182" s="17">
        <f t="shared" si="127"/>
        <v>883890.32041855541</v>
      </c>
      <c r="R182" s="17">
        <f t="shared" si="128"/>
        <v>750761.84714613482</v>
      </c>
    </row>
    <row r="183" spans="1:18">
      <c r="A183" s="18">
        <f t="shared" si="114"/>
        <v>2032</v>
      </c>
      <c r="B183" s="24">
        <f t="shared" si="115"/>
        <v>3900000</v>
      </c>
      <c r="K183" s="17">
        <f>IFERROR((J182/$B182)*$B183,0)</f>
        <v>-672096.06203262624</v>
      </c>
      <c r="L183" s="17">
        <f t="shared" si="122"/>
        <v>-771525.49875655223</v>
      </c>
      <c r="M183" s="17">
        <f t="shared" si="123"/>
        <v>-747080.43164119113</v>
      </c>
      <c r="N183" s="17">
        <f t="shared" si="124"/>
        <v>-389789.24491270311</v>
      </c>
      <c r="O183" s="17">
        <f t="shared" si="125"/>
        <v>202171.40100974514</v>
      </c>
      <c r="P183" s="17">
        <f t="shared" si="126"/>
        <v>486430.31895063573</v>
      </c>
      <c r="Q183" s="17">
        <f t="shared" si="127"/>
        <v>867208.22724822059</v>
      </c>
      <c r="R183" s="17">
        <f t="shared" si="128"/>
        <v>883890.32041855541</v>
      </c>
    </row>
    <row r="184" spans="1:18">
      <c r="A184" s="18">
        <f t="shared" si="114"/>
        <v>2033</v>
      </c>
      <c r="B184" s="24">
        <f t="shared" si="115"/>
        <v>3900000</v>
      </c>
      <c r="L184" s="17">
        <f>IFERROR((K183/$B183)*$B184,0)</f>
        <v>-672096.06203262624</v>
      </c>
      <c r="M184" s="17">
        <f t="shared" si="123"/>
        <v>-771525.49875655223</v>
      </c>
      <c r="N184" s="17">
        <f t="shared" si="124"/>
        <v>-747080.43164119113</v>
      </c>
      <c r="O184" s="17">
        <f t="shared" si="125"/>
        <v>-389789.24491270311</v>
      </c>
      <c r="P184" s="17">
        <f t="shared" si="126"/>
        <v>202171.40100974514</v>
      </c>
      <c r="Q184" s="17">
        <f t="shared" si="127"/>
        <v>486430.31895063573</v>
      </c>
      <c r="R184" s="17">
        <f t="shared" si="128"/>
        <v>867208.22724822059</v>
      </c>
    </row>
    <row r="185" spans="1:18">
      <c r="A185" s="18">
        <f t="shared" si="114"/>
        <v>2034</v>
      </c>
      <c r="B185" s="24">
        <f t="shared" si="115"/>
        <v>3900000</v>
      </c>
      <c r="L185" s="22"/>
      <c r="M185" s="17">
        <f>IFERROR((L184/$B184)*$B185,0)</f>
        <v>-672096.06203262624</v>
      </c>
      <c r="N185" s="17">
        <f t="shared" si="124"/>
        <v>-771525.49875655223</v>
      </c>
      <c r="O185" s="17">
        <f t="shared" si="125"/>
        <v>-747080.43164119113</v>
      </c>
      <c r="P185" s="17">
        <f t="shared" si="126"/>
        <v>-389789.24491270311</v>
      </c>
      <c r="Q185" s="17">
        <f t="shared" si="127"/>
        <v>202171.40100974514</v>
      </c>
      <c r="R185" s="17">
        <f t="shared" si="128"/>
        <v>486430.31895063573</v>
      </c>
    </row>
    <row r="186" spans="1:18">
      <c r="A186" s="18">
        <f t="shared" si="114"/>
        <v>2035</v>
      </c>
      <c r="B186" s="24">
        <f t="shared" si="115"/>
        <v>3900000</v>
      </c>
      <c r="N186" s="17">
        <f>IFERROR((M185/$B185)*$B186,0)</f>
        <v>-672096.06203262624</v>
      </c>
      <c r="O186" s="17">
        <f t="shared" si="125"/>
        <v>-771525.49875655223</v>
      </c>
      <c r="P186" s="17">
        <f t="shared" si="126"/>
        <v>-747080.43164119113</v>
      </c>
      <c r="Q186" s="17">
        <f t="shared" si="127"/>
        <v>-389789.24491270311</v>
      </c>
      <c r="R186" s="17">
        <f t="shared" si="128"/>
        <v>202171.40100974514</v>
      </c>
    </row>
    <row r="187" spans="1:18">
      <c r="A187" s="18">
        <f t="shared" si="114"/>
        <v>2036</v>
      </c>
      <c r="B187" s="24">
        <f t="shared" si="115"/>
        <v>3900000</v>
      </c>
      <c r="O187" s="17">
        <f>IFERROR((N186/$B186)*$B187,0)</f>
        <v>-672096.06203262624</v>
      </c>
      <c r="P187" s="17">
        <f t="shared" si="126"/>
        <v>-771525.49875655223</v>
      </c>
      <c r="Q187" s="17">
        <f t="shared" si="127"/>
        <v>-747080.43164119113</v>
      </c>
      <c r="R187" s="17">
        <f t="shared" si="128"/>
        <v>-389789.24491270311</v>
      </c>
    </row>
    <row r="188" spans="1:18">
      <c r="A188" s="18">
        <f t="shared" si="114"/>
        <v>2037</v>
      </c>
      <c r="B188" s="24">
        <f t="shared" si="115"/>
        <v>3900000</v>
      </c>
      <c r="P188" s="17">
        <f>IFERROR((O187/$B187)*$B188,0)</f>
        <v>-672096.06203262624</v>
      </c>
      <c r="Q188" s="17">
        <f t="shared" si="127"/>
        <v>-771525.49875655223</v>
      </c>
      <c r="R188" s="17">
        <f t="shared" si="128"/>
        <v>-747080.43164119113</v>
      </c>
    </row>
    <row r="189" spans="1:18">
      <c r="A189" s="18">
        <f t="shared" si="114"/>
        <v>2038</v>
      </c>
      <c r="B189" s="24">
        <f t="shared" si="115"/>
        <v>3900000</v>
      </c>
      <c r="Q189" s="17">
        <f>IFERROR((P188/$B188)*$B189,0)</f>
        <v>-672096.06203262624</v>
      </c>
      <c r="R189" s="17">
        <f t="shared" si="128"/>
        <v>-771525.49875655223</v>
      </c>
    </row>
    <row r="190" spans="1:18">
      <c r="A190" s="18">
        <f t="shared" si="114"/>
        <v>2039</v>
      </c>
      <c r="B190" s="24">
        <f t="shared" si="115"/>
        <v>3900000</v>
      </c>
      <c r="R190" s="17">
        <f>IFERROR((Q189/$B189)*$B190,0)</f>
        <v>-672096.06203262624</v>
      </c>
    </row>
    <row r="191" spans="1:18">
      <c r="R191" s="17"/>
    </row>
    <row r="192" spans="1:18">
      <c r="A192" s="21" t="s">
        <v>33</v>
      </c>
      <c r="C192" s="20"/>
      <c r="D192" s="20">
        <f>SUM(D176:D190)</f>
        <v>-672096.06203262624</v>
      </c>
      <c r="E192" s="20">
        <f t="shared" ref="E192:R192" si="129">SUM(E176:E190)</f>
        <v>-1443621.5607891786</v>
      </c>
      <c r="F192" s="20">
        <f t="shared" si="129"/>
        <v>-2190701.9924303694</v>
      </c>
      <c r="G192" s="20">
        <f t="shared" si="129"/>
        <v>-2580491.2373430729</v>
      </c>
      <c r="H192" s="20">
        <f t="shared" si="129"/>
        <v>-2378319.8363333279</v>
      </c>
      <c r="I192" s="20">
        <f t="shared" si="129"/>
        <v>-1891889.5173826918</v>
      </c>
      <c r="J192" s="20">
        <f t="shared" si="129"/>
        <v>-1024681.2901344711</v>
      </c>
      <c r="K192" s="20">
        <f t="shared" si="129"/>
        <v>-140790.96971591597</v>
      </c>
      <c r="L192" s="20">
        <f t="shared" si="129"/>
        <v>609970.87743021897</v>
      </c>
      <c r="M192" s="20">
        <f t="shared" si="129"/>
        <v>1167409.0277600212</v>
      </c>
      <c r="N192" s="20">
        <f t="shared" si="129"/>
        <v>1750129.8376302684</v>
      </c>
      <c r="O192" s="20">
        <f t="shared" si="129"/>
        <v>2065429.2467767706</v>
      </c>
      <c r="P192" s="20">
        <f t="shared" si="129"/>
        <v>2309758.0312732207</v>
      </c>
      <c r="Q192" s="20">
        <f t="shared" si="129"/>
        <v>2438323.9137378223</v>
      </c>
      <c r="R192" s="20">
        <f t="shared" si="129"/>
        <v>2554953.8394595049</v>
      </c>
    </row>
    <row r="193" spans="1:18">
      <c r="A193" s="21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>
      <c r="A194" s="21" t="s">
        <v>307</v>
      </c>
      <c r="C194" s="20"/>
      <c r="D194" s="20">
        <f>SUM(D192,D94,D70,D46)</f>
        <v>-672096.06203262624</v>
      </c>
      <c r="E194" s="20">
        <f t="shared" ref="E194:R194" si="130">SUM(E192,E94,E70,E46)</f>
        <v>-1443621.5607891786</v>
      </c>
      <c r="F194" s="20">
        <f t="shared" si="130"/>
        <v>-2190701.9924303694</v>
      </c>
      <c r="G194" s="20">
        <f t="shared" si="130"/>
        <v>-2580491.2373430729</v>
      </c>
      <c r="H194" s="20">
        <f t="shared" si="130"/>
        <v>-2378319.8363333279</v>
      </c>
      <c r="I194" s="20">
        <f t="shared" si="130"/>
        <v>-1891889.5173826918</v>
      </c>
      <c r="J194" s="20">
        <f t="shared" si="130"/>
        <v>-1024681.2901344711</v>
      </c>
      <c r="K194" s="20">
        <f t="shared" si="130"/>
        <v>-140790.96971591597</v>
      </c>
      <c r="L194" s="20">
        <f t="shared" si="130"/>
        <v>609970.87743021897</v>
      </c>
      <c r="M194" s="20">
        <f t="shared" si="130"/>
        <v>1167409.0277600212</v>
      </c>
      <c r="N194" s="20">
        <f t="shared" si="130"/>
        <v>1750129.8376302684</v>
      </c>
      <c r="O194" s="20">
        <f t="shared" si="130"/>
        <v>2065429.2467767706</v>
      </c>
      <c r="P194" s="20">
        <f t="shared" si="130"/>
        <v>2309758.0312732207</v>
      </c>
      <c r="Q194" s="20">
        <f t="shared" si="130"/>
        <v>2438323.9137378223</v>
      </c>
      <c r="R194" s="20">
        <f t="shared" si="130"/>
        <v>2554953.8394595049</v>
      </c>
    </row>
    <row r="195" spans="1:18">
      <c r="R195" s="17"/>
    </row>
    <row r="196" spans="1:18">
      <c r="A196" s="21" t="s">
        <v>37</v>
      </c>
      <c r="C196" s="20"/>
      <c r="D196" s="20">
        <f>SUM($D$194:D194)</f>
        <v>-672096.06203262624</v>
      </c>
      <c r="E196" s="20">
        <f>SUM($D$194:E194)</f>
        <v>-2115717.6228218051</v>
      </c>
      <c r="F196" s="20">
        <f>SUM($D$194:F194)</f>
        <v>-4306419.6152521744</v>
      </c>
      <c r="G196" s="20">
        <f>SUM($D$194:G194)</f>
        <v>-6886910.8525952473</v>
      </c>
      <c r="H196" s="20">
        <f>SUM($D$194:H194)</f>
        <v>-9265230.6889285743</v>
      </c>
      <c r="I196" s="20">
        <f>SUM($D$194:I194)</f>
        <v>-11157120.206311267</v>
      </c>
      <c r="J196" s="20">
        <f>SUM($D$194:J194)</f>
        <v>-12181801.496445738</v>
      </c>
      <c r="K196" s="20">
        <f>SUM($D$194:K194)</f>
        <v>-12322592.466161653</v>
      </c>
      <c r="L196" s="20">
        <f>SUM($D$194:L194)</f>
        <v>-11712621.588731434</v>
      </c>
      <c r="M196" s="20">
        <f>SUM($D$194:M194)</f>
        <v>-10545212.560971413</v>
      </c>
      <c r="N196" s="20">
        <f>SUM($D$194:N194)</f>
        <v>-8795082.7233411446</v>
      </c>
      <c r="O196" s="20">
        <f>SUM($D$194:O194)</f>
        <v>-6729653.4765643738</v>
      </c>
      <c r="P196" s="20">
        <f>SUM($D$194:P194)</f>
        <v>-4419895.4452911532</v>
      </c>
      <c r="Q196" s="20">
        <f>SUM($D$194:Q194)</f>
        <v>-1981571.5315533308</v>
      </c>
      <c r="R196" s="20">
        <f>SUM($D$194:R194)</f>
        <v>573382.3079061741</v>
      </c>
    </row>
    <row r="200" spans="1:18" ht="12" thickBot="1"/>
    <row r="201" spans="1:18">
      <c r="C201" s="69" t="s">
        <v>64</v>
      </c>
      <c r="D201" s="70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2"/>
    </row>
    <row r="202" spans="1:18">
      <c r="C202" s="73"/>
      <c r="D202" s="74" t="s">
        <v>6</v>
      </c>
      <c r="E202" s="74" t="s">
        <v>7</v>
      </c>
      <c r="F202" s="74" t="s">
        <v>8</v>
      </c>
      <c r="G202" s="74" t="s">
        <v>9</v>
      </c>
      <c r="H202" s="74" t="s">
        <v>10</v>
      </c>
      <c r="I202" s="74" t="s">
        <v>11</v>
      </c>
      <c r="J202" s="74" t="s">
        <v>12</v>
      </c>
      <c r="K202" s="74" t="s">
        <v>13</v>
      </c>
      <c r="L202" s="74" t="s">
        <v>14</v>
      </c>
      <c r="M202" s="74" t="s">
        <v>15</v>
      </c>
      <c r="N202" s="74" t="s">
        <v>16</v>
      </c>
      <c r="O202" s="74" t="s">
        <v>17</v>
      </c>
      <c r="P202" s="74" t="s">
        <v>18</v>
      </c>
      <c r="Q202" s="74" t="s">
        <v>19</v>
      </c>
      <c r="R202" s="75" t="s">
        <v>20</v>
      </c>
    </row>
    <row r="203" spans="1:18">
      <c r="C203" s="76" t="s">
        <v>38</v>
      </c>
      <c r="D203" s="77">
        <f>D146/1000000</f>
        <v>-0.67209606203262628</v>
      </c>
      <c r="E203" s="77">
        <f t="shared" ref="E203:R203" si="131">E146/1000000</f>
        <v>-1.4466221179072845</v>
      </c>
      <c r="F203" s="77">
        <f t="shared" si="131"/>
        <v>-2.2759607164977043</v>
      </c>
      <c r="G203" s="77">
        <f t="shared" si="131"/>
        <v>-2.9993100128503003</v>
      </c>
      <c r="H203" s="77">
        <f t="shared" si="131"/>
        <v>-3.4503275453261342</v>
      </c>
      <c r="I203" s="77">
        <f t="shared" si="131"/>
        <v>-3.6791162793530914</v>
      </c>
      <c r="J203" s="77">
        <f t="shared" si="131"/>
        <v>-3.7824556748959308</v>
      </c>
      <c r="K203" s="77">
        <f t="shared" si="131"/>
        <v>-3.8432477774708049</v>
      </c>
      <c r="L203" s="77">
        <f t="shared" si="131"/>
        <v>-3.8661918894104583</v>
      </c>
      <c r="M203" s="77">
        <f t="shared" si="131"/>
        <v>-3.8821421695134983</v>
      </c>
      <c r="N203" s="77">
        <f t="shared" si="131"/>
        <v>-3.8927412512435073</v>
      </c>
      <c r="O203" s="77">
        <f t="shared" si="131"/>
        <v>-3.8985754455783823</v>
      </c>
      <c r="P203" s="77">
        <f t="shared" si="131"/>
        <v>-3.9028062933183314</v>
      </c>
      <c r="Q203" s="77">
        <f t="shared" si="131"/>
        <v>-3.9031619612764232</v>
      </c>
      <c r="R203" s="78">
        <f t="shared" si="131"/>
        <v>-3.9046922896217864</v>
      </c>
    </row>
    <row r="204" spans="1:18">
      <c r="C204" s="76" t="s">
        <v>39</v>
      </c>
      <c r="D204" s="77">
        <f>D170/1000000</f>
        <v>0</v>
      </c>
      <c r="E204" s="77">
        <f t="shared" ref="E204:R204" si="132">E170/1000000</f>
        <v>3.0005571181060814E-3</v>
      </c>
      <c r="F204" s="77">
        <f t="shared" si="132"/>
        <v>8.525872406733509E-2</v>
      </c>
      <c r="G204" s="77">
        <f t="shared" si="132"/>
        <v>0.41881877550722801</v>
      </c>
      <c r="H204" s="77">
        <f t="shared" si="132"/>
        <v>1.0720077089928066</v>
      </c>
      <c r="I204" s="77">
        <f t="shared" si="132"/>
        <v>1.7872267619704001</v>
      </c>
      <c r="J204" s="77">
        <f t="shared" si="132"/>
        <v>2.7577743847614595</v>
      </c>
      <c r="K204" s="77">
        <f t="shared" si="132"/>
        <v>3.7024568077548885</v>
      </c>
      <c r="L204" s="77">
        <f t="shared" si="132"/>
        <v>4.4761627668406776</v>
      </c>
      <c r="M204" s="77">
        <f t="shared" si="132"/>
        <v>5.0495511972735185</v>
      </c>
      <c r="N204" s="77">
        <f t="shared" si="132"/>
        <v>5.6428710888737754</v>
      </c>
      <c r="O204" s="77">
        <f t="shared" si="132"/>
        <v>5.9640046923551528</v>
      </c>
      <c r="P204" s="77">
        <f t="shared" si="132"/>
        <v>6.2125643245915532</v>
      </c>
      <c r="Q204" s="77">
        <f t="shared" si="132"/>
        <v>6.3414858750142473</v>
      </c>
      <c r="R204" s="78">
        <f t="shared" si="132"/>
        <v>6.4596461290812917</v>
      </c>
    </row>
    <row r="205" spans="1:18" ht="12" thickBot="1">
      <c r="C205" s="79" t="s">
        <v>66</v>
      </c>
      <c r="D205" s="80">
        <f>D194/1000000</f>
        <v>-0.67209606203262628</v>
      </c>
      <c r="E205" s="80">
        <f>E194/1000000</f>
        <v>-1.4436215607891787</v>
      </c>
      <c r="F205" s="80">
        <f t="shared" ref="F205:R205" si="133">F194/1000000</f>
        <v>-2.1907019924303692</v>
      </c>
      <c r="G205" s="80">
        <f t="shared" si="133"/>
        <v>-2.5804912373430731</v>
      </c>
      <c r="H205" s="80">
        <f t="shared" si="133"/>
        <v>-2.3783198363333278</v>
      </c>
      <c r="I205" s="80">
        <f t="shared" si="133"/>
        <v>-1.891889517382692</v>
      </c>
      <c r="J205" s="80">
        <f t="shared" si="133"/>
        <v>-1.0246812901344711</v>
      </c>
      <c r="K205" s="80">
        <f t="shared" si="133"/>
        <v>-0.14079096971591598</v>
      </c>
      <c r="L205" s="80">
        <f t="shared" si="133"/>
        <v>0.60997087743021894</v>
      </c>
      <c r="M205" s="80">
        <f t="shared" si="133"/>
        <v>1.1674090277600211</v>
      </c>
      <c r="N205" s="80">
        <f t="shared" si="133"/>
        <v>1.7501298376302685</v>
      </c>
      <c r="O205" s="80">
        <f t="shared" si="133"/>
        <v>2.0654292467767705</v>
      </c>
      <c r="P205" s="80">
        <f t="shared" si="133"/>
        <v>2.3097580312732209</v>
      </c>
      <c r="Q205" s="80">
        <f t="shared" si="133"/>
        <v>2.4383239137378223</v>
      </c>
      <c r="R205" s="81">
        <f t="shared" si="133"/>
        <v>2.5549538394595048</v>
      </c>
    </row>
    <row r="206" spans="1:18" ht="12" thickBot="1"/>
    <row r="207" spans="1:18">
      <c r="C207" s="69" t="s">
        <v>65</v>
      </c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2"/>
    </row>
    <row r="208" spans="1:18">
      <c r="C208" s="76" t="s">
        <v>295</v>
      </c>
      <c r="D208" s="77">
        <f t="shared" ref="D208:R208" si="134">D119/1000000</f>
        <v>0.61979884810948938</v>
      </c>
      <c r="E208" s="77">
        <f t="shared" si="134"/>
        <v>1.9975293894431116</v>
      </c>
      <c r="F208" s="77">
        <f t="shared" si="134"/>
        <v>4.2384224238362247</v>
      </c>
      <c r="G208" s="77">
        <f t="shared" si="134"/>
        <v>7.1673385183504514</v>
      </c>
      <c r="H208" s="77">
        <f t="shared" si="134"/>
        <v>10.451436421562363</v>
      </c>
      <c r="I208" s="77">
        <f t="shared" si="134"/>
        <v>13.593922808910905</v>
      </c>
      <c r="J208" s="77">
        <f t="shared" si="134"/>
        <v>16.455814929547756</v>
      </c>
      <c r="K208" s="77">
        <f t="shared" si="134"/>
        <v>18.881824227438855</v>
      </c>
      <c r="L208" s="77">
        <f t="shared" si="134"/>
        <v>20.804101026757451</v>
      </c>
      <c r="M208" s="77">
        <f t="shared" si="134"/>
        <v>22.368371370023524</v>
      </c>
      <c r="N208" s="77">
        <f t="shared" si="134"/>
        <v>23.542834167685943</v>
      </c>
      <c r="O208" s="77">
        <f t="shared" si="134"/>
        <v>24.444890342596661</v>
      </c>
      <c r="P208" s="77">
        <f t="shared" si="134"/>
        <v>25.143601961027137</v>
      </c>
      <c r="Q208" s="77">
        <f t="shared" si="134"/>
        <v>25.746673158437595</v>
      </c>
      <c r="R208" s="78">
        <f t="shared" si="134"/>
        <v>26.296311836988043</v>
      </c>
    </row>
    <row r="209" spans="3:18" ht="12" thickBot="1">
      <c r="C209" s="79" t="s">
        <v>68</v>
      </c>
      <c r="D209" s="80">
        <f>-SUM($D$205:D205)</f>
        <v>0.67209606203262628</v>
      </c>
      <c r="E209" s="80">
        <f>-SUM($D$205:E205)</f>
        <v>2.1157176228218049</v>
      </c>
      <c r="F209" s="80">
        <f>-SUM($D$205:F205)</f>
        <v>4.3064196152521745</v>
      </c>
      <c r="G209" s="80">
        <f>-SUM($D$205:G205)</f>
        <v>6.886910852595248</v>
      </c>
      <c r="H209" s="80">
        <f>-SUM($D$205:H205)</f>
        <v>9.2652306889285754</v>
      </c>
      <c r="I209" s="80">
        <f>-SUM($D$205:I205)</f>
        <v>11.157120206311268</v>
      </c>
      <c r="J209" s="80">
        <f>-SUM($D$205:J205)</f>
        <v>12.181801496445738</v>
      </c>
      <c r="K209" s="80">
        <f>-SUM($D$205:K205)</f>
        <v>12.322592466161653</v>
      </c>
      <c r="L209" s="80">
        <f>-SUM($D$205:L205)</f>
        <v>11.712621588731434</v>
      </c>
      <c r="M209" s="80">
        <f>-SUM($D$205:M205)</f>
        <v>10.545212560971413</v>
      </c>
      <c r="N209" s="80">
        <f>-SUM($D$205:N205)</f>
        <v>8.7950827233411442</v>
      </c>
      <c r="O209" s="80">
        <f>-SUM($D$205:O205)</f>
        <v>6.7296534765643736</v>
      </c>
      <c r="P209" s="80">
        <f>-SUM($D$205:P205)</f>
        <v>4.4198954452911527</v>
      </c>
      <c r="Q209" s="80">
        <f>-SUM($D$205:Q205)</f>
        <v>1.9815715315533304</v>
      </c>
      <c r="R209" s="81">
        <f>-SUM($D$205:R205)</f>
        <v>-0.57338230790617439</v>
      </c>
    </row>
    <row r="210" spans="3:18">
      <c r="R210" s="17"/>
    </row>
    <row r="211" spans="3:18">
      <c r="C211" s="17" t="s">
        <v>296</v>
      </c>
      <c r="D211" s="17">
        <f>D123*$E$4</f>
        <v>10</v>
      </c>
      <c r="E211" s="17">
        <f t="shared" ref="E211:R211" si="135">E123*$E$4</f>
        <v>10.64</v>
      </c>
      <c r="F211" s="17">
        <f t="shared" si="135"/>
        <v>11.320959999999999</v>
      </c>
      <c r="G211" s="17">
        <f t="shared" si="135"/>
        <v>12.045501440000001</v>
      </c>
      <c r="H211" s="17">
        <f t="shared" si="135"/>
        <v>12.816413532160002</v>
      </c>
      <c r="I211" s="17">
        <f t="shared" si="135"/>
        <v>13.636663998218244</v>
      </c>
      <c r="J211" s="17">
        <f t="shared" si="135"/>
        <v>14.509410494104213</v>
      </c>
      <c r="K211" s="17">
        <f t="shared" si="135"/>
        <v>15.438012765726883</v>
      </c>
      <c r="L211" s="17">
        <f t="shared" si="135"/>
        <v>16.426045582733405</v>
      </c>
      <c r="M211" s="17">
        <f t="shared" si="135"/>
        <v>17.477312500028344</v>
      </c>
      <c r="N211" s="17">
        <f t="shared" si="135"/>
        <v>18.595860500030156</v>
      </c>
      <c r="O211" s="17">
        <f t="shared" si="135"/>
        <v>19.785995572032085</v>
      </c>
      <c r="P211" s="17">
        <f t="shared" si="135"/>
        <v>21.052299288642143</v>
      </c>
      <c r="Q211" s="17">
        <f t="shared" si="135"/>
        <v>22.399646443115241</v>
      </c>
      <c r="R211" s="17">
        <f t="shared" si="135"/>
        <v>23.833223815474618</v>
      </c>
    </row>
    <row r="212" spans="3:18">
      <c r="R212" s="17"/>
    </row>
    <row r="213" spans="3:18">
      <c r="C213" s="17" t="s">
        <v>67</v>
      </c>
      <c r="D213" s="83">
        <f>D208/D123</f>
        <v>6.1979884810948939E-2</v>
      </c>
      <c r="E213" s="83">
        <f t="shared" ref="E213:R213" si="136">E208/E123</f>
        <v>0.187737724571721</v>
      </c>
      <c r="F213" s="83">
        <f t="shared" si="136"/>
        <v>0.37438719188445369</v>
      </c>
      <c r="G213" s="83">
        <f t="shared" si="136"/>
        <v>0.59502201332603477</v>
      </c>
      <c r="H213" s="83">
        <f t="shared" si="136"/>
        <v>0.81547278381247268</v>
      </c>
      <c r="I213" s="83">
        <f t="shared" si="136"/>
        <v>0.99686571515489975</v>
      </c>
      <c r="J213" s="83">
        <f t="shared" si="136"/>
        <v>1.1341477268311109</v>
      </c>
      <c r="K213" s="83">
        <f t="shared" si="136"/>
        <v>1.223073494883836</v>
      </c>
      <c r="L213" s="83">
        <f t="shared" si="136"/>
        <v>1.2665313098014372</v>
      </c>
      <c r="M213" s="83">
        <f t="shared" si="136"/>
        <v>1.2798518862661092</v>
      </c>
      <c r="N213" s="83">
        <f t="shared" si="136"/>
        <v>1.2660255312007618</v>
      </c>
      <c r="O213" s="83">
        <f t="shared" si="136"/>
        <v>1.2354642582226198</v>
      </c>
      <c r="P213" s="83">
        <f t="shared" si="136"/>
        <v>1.1943399443590601</v>
      </c>
      <c r="Q213" s="83">
        <f t="shared" si="136"/>
        <v>1.1494231939697019</v>
      </c>
      <c r="R213" s="83">
        <f t="shared" si="136"/>
        <v>1.1033468254476833</v>
      </c>
    </row>
    <row r="215" spans="3:18">
      <c r="C215" s="17" t="s">
        <v>308</v>
      </c>
      <c r="D215" s="136">
        <f>(D208+(D172/1000000))/($B$4/1000000)</f>
        <v>6.1979884810948939E-2</v>
      </c>
      <c r="E215" s="136">
        <f>(E208+(E172/1000000))/($B$4/1000000)</f>
        <v>0.20005299465612175</v>
      </c>
      <c r="F215" s="136">
        <f t="shared" ref="F215:R215" si="137">(F208+(F172/1000000))/($B$4/1000000)</f>
        <v>0.43266817050216655</v>
      </c>
      <c r="G215" s="136">
        <f t="shared" si="137"/>
        <v>0.76744165750431204</v>
      </c>
      <c r="H215" s="136">
        <f t="shared" si="137"/>
        <v>1.2030522187247841</v>
      </c>
      <c r="I215" s="136">
        <f t="shared" si="137"/>
        <v>1.6960235336566782</v>
      </c>
      <c r="J215" s="136">
        <f t="shared" si="137"/>
        <v>2.2579901841965091</v>
      </c>
      <c r="K215" s="136">
        <f t="shared" si="137"/>
        <v>2.8708367947611082</v>
      </c>
      <c r="L215" s="136">
        <f t="shared" si="137"/>
        <v>3.5106807513770351</v>
      </c>
      <c r="M215" s="136">
        <f t="shared" si="137"/>
        <v>4.1720629054309954</v>
      </c>
      <c r="N215" s="136">
        <f t="shared" si="137"/>
        <v>4.8537962940846144</v>
      </c>
      <c r="O215" s="136">
        <f t="shared" si="137"/>
        <v>5.5404023808112015</v>
      </c>
      <c r="P215" s="136">
        <f t="shared" si="137"/>
        <v>6.2315299751134035</v>
      </c>
      <c r="Q215" s="136">
        <f t="shared" si="137"/>
        <v>6.9259856823558748</v>
      </c>
      <c r="R215" s="136">
        <f t="shared" si="137"/>
        <v>7.6269141631190482</v>
      </c>
    </row>
  </sheetData>
  <phoneticPr fontId="19" type="noConversion"/>
  <conditionalFormatting sqref="O12">
    <cfRule type="cellIs" dxfId="3" priority="1" operator="notEqual">
      <formula>1</formula>
    </cfRule>
  </conditionalFormatting>
  <pageMargins left="0.7" right="0.7" top="0.75" bottom="0.75" header="0.3" footer="0.3"/>
  <pageSetup orientation="portrait" r:id="rId1"/>
  <customProperties>
    <customPr name="WorksheetId" r:id="rId2"/>
  </customPropertie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0F7F-115D-437B-91E9-204D2745EF25}">
  <sheetPr codeName="Sheet17">
    <tabColor theme="4"/>
  </sheetPr>
  <dimension ref="A1:W215"/>
  <sheetViews>
    <sheetView tabSelected="1" zoomScaleNormal="100" workbookViewId="0">
      <selection activeCell="B2" sqref="B2"/>
    </sheetView>
  </sheetViews>
  <sheetFormatPr defaultColWidth="9.140625" defaultRowHeight="11.25"/>
  <cols>
    <col min="1" max="1" width="45.42578125" style="19" customWidth="1"/>
    <col min="2" max="2" width="13.85546875" style="19" bestFit="1" customWidth="1"/>
    <col min="3" max="3" width="18.5703125" style="17" customWidth="1"/>
    <col min="4" max="4" width="13.5703125" style="17" bestFit="1" customWidth="1"/>
    <col min="5" max="5" width="14.7109375" style="17" bestFit="1" customWidth="1"/>
    <col min="6" max="6" width="15.140625" style="17" bestFit="1" customWidth="1"/>
    <col min="7" max="7" width="13.85546875" style="17" bestFit="1" customWidth="1"/>
    <col min="8" max="8" width="15.140625" style="17" bestFit="1" customWidth="1"/>
    <col min="9" max="10" width="15.42578125" style="17" bestFit="1" customWidth="1"/>
    <col min="11" max="17" width="15.42578125" style="17" customWidth="1"/>
    <col min="18" max="18" width="18.28515625" style="19" customWidth="1"/>
    <col min="19" max="16384" width="9.140625" style="3"/>
  </cols>
  <sheetData>
    <row r="1" spans="1:23">
      <c r="A1" s="7" t="s">
        <v>41</v>
      </c>
      <c r="B1" s="25">
        <v>6.4000000000000001E-2</v>
      </c>
      <c r="C1" s="1"/>
      <c r="D1" s="1"/>
      <c r="E1" s="53"/>
      <c r="F1" s="4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</row>
    <row r="2" spans="1:23">
      <c r="A2" s="1"/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</row>
    <row r="3" spans="1:23" ht="33.75">
      <c r="A3" s="2" t="s">
        <v>5</v>
      </c>
      <c r="B3" s="40" t="s">
        <v>44</v>
      </c>
      <c r="C3" s="36" t="s">
        <v>43</v>
      </c>
      <c r="D3" s="35" t="s">
        <v>4</v>
      </c>
      <c r="E3" s="35" t="s">
        <v>28</v>
      </c>
      <c r="F3" s="35" t="s">
        <v>29</v>
      </c>
      <c r="G3" s="1"/>
      <c r="H3" s="122" t="s">
        <v>303</v>
      </c>
      <c r="I3" s="123" t="s">
        <v>297</v>
      </c>
      <c r="J3" s="1"/>
      <c r="K3" s="127" t="s">
        <v>304</v>
      </c>
      <c r="L3" s="128" t="s">
        <v>305</v>
      </c>
      <c r="M3" s="1"/>
      <c r="N3" s="115" t="s">
        <v>301</v>
      </c>
      <c r="O3" s="116" t="s">
        <v>45</v>
      </c>
      <c r="P3" s="1"/>
      <c r="Q3" s="1"/>
      <c r="R3" s="1"/>
      <c r="S3" s="1"/>
      <c r="T3" s="1"/>
      <c r="U3" s="1"/>
      <c r="V3" s="1"/>
      <c r="W3" s="1"/>
    </row>
    <row r="4" spans="1:23">
      <c r="A4" s="30">
        <v>2025</v>
      </c>
      <c r="B4" s="23">
        <v>10000000</v>
      </c>
      <c r="C4" s="23">
        <v>0</v>
      </c>
      <c r="D4" s="31">
        <f>SUM(B4:C4)</f>
        <v>10000000</v>
      </c>
      <c r="E4" s="54">
        <v>1</v>
      </c>
      <c r="F4" s="1">
        <f t="shared" ref="F4:F18" si="0">D4*E4</f>
        <v>10000000</v>
      </c>
      <c r="G4" s="1"/>
      <c r="H4" s="124">
        <v>10000000</v>
      </c>
      <c r="I4" s="125">
        <f>LTCMAs!K11</f>
        <v>9.3899999999999983E-2</v>
      </c>
      <c r="J4" s="1"/>
      <c r="K4" s="129">
        <v>0</v>
      </c>
      <c r="L4" s="130">
        <v>0.06</v>
      </c>
      <c r="M4" s="1"/>
      <c r="N4" s="117" t="s">
        <v>21</v>
      </c>
      <c r="O4" s="118">
        <v>1</v>
      </c>
      <c r="P4" s="47"/>
      <c r="Q4" s="14"/>
      <c r="R4" s="14"/>
      <c r="S4" s="14"/>
      <c r="T4" s="14"/>
      <c r="U4" s="14"/>
      <c r="V4" s="14"/>
      <c r="W4" s="14"/>
    </row>
    <row r="5" spans="1:23">
      <c r="A5" s="2">
        <f t="shared" ref="A5:A18" si="1">A4+1</f>
        <v>2026</v>
      </c>
      <c r="B5" s="26"/>
      <c r="C5" s="23"/>
      <c r="D5" s="31">
        <f>(D4*(1+$B$1))+C5</f>
        <v>10640000</v>
      </c>
      <c r="E5" s="55">
        <f>E4</f>
        <v>1</v>
      </c>
      <c r="F5" s="1">
        <f t="shared" si="0"/>
        <v>10640000</v>
      </c>
      <c r="G5" s="1"/>
      <c r="H5" s="124">
        <v>0</v>
      </c>
      <c r="I5" s="126"/>
      <c r="J5" s="1"/>
      <c r="K5" s="129">
        <v>0</v>
      </c>
      <c r="L5" s="131"/>
      <c r="M5" s="1"/>
      <c r="N5" s="117" t="s">
        <v>27</v>
      </c>
      <c r="O5" s="118">
        <v>0</v>
      </c>
      <c r="P5" s="1"/>
      <c r="Q5" s="1"/>
      <c r="R5" s="1"/>
      <c r="S5" s="1"/>
      <c r="T5" s="1"/>
      <c r="U5" s="1"/>
      <c r="V5" s="1"/>
      <c r="W5" s="1"/>
    </row>
    <row r="6" spans="1:23">
      <c r="A6" s="2">
        <f t="shared" si="1"/>
        <v>2027</v>
      </c>
      <c r="B6" s="26"/>
      <c r="C6" s="23"/>
      <c r="D6" s="31">
        <f t="shared" ref="D6:D18" si="2">(D5*(1+$B$1))+C6</f>
        <v>11320960</v>
      </c>
      <c r="E6" s="55">
        <f t="shared" ref="E6:E18" si="3">E5</f>
        <v>1</v>
      </c>
      <c r="F6" s="1">
        <f t="shared" si="0"/>
        <v>11320960</v>
      </c>
      <c r="G6" s="1"/>
      <c r="H6" s="124">
        <v>0</v>
      </c>
      <c r="I6" s="126"/>
      <c r="J6" s="1"/>
      <c r="K6" s="129">
        <v>0</v>
      </c>
      <c r="L6" s="131"/>
      <c r="M6" s="1"/>
      <c r="N6" s="117" t="s">
        <v>49</v>
      </c>
      <c r="O6" s="118">
        <v>0</v>
      </c>
      <c r="P6" s="1"/>
      <c r="Q6" s="1"/>
      <c r="R6" s="1"/>
      <c r="S6" s="1"/>
      <c r="T6" s="1"/>
      <c r="U6" s="1"/>
      <c r="V6" s="1"/>
      <c r="W6" s="1"/>
    </row>
    <row r="7" spans="1:23">
      <c r="A7" s="2">
        <f t="shared" si="1"/>
        <v>2028</v>
      </c>
      <c r="B7" s="26"/>
      <c r="C7" s="23"/>
      <c r="D7" s="31">
        <f t="shared" si="2"/>
        <v>12045501.440000001</v>
      </c>
      <c r="E7" s="55">
        <f t="shared" si="3"/>
        <v>1</v>
      </c>
      <c r="F7" s="1">
        <f t="shared" si="0"/>
        <v>12045501.440000001</v>
      </c>
      <c r="G7" s="1"/>
      <c r="H7" s="124">
        <v>0</v>
      </c>
      <c r="I7" s="126"/>
      <c r="J7" s="1"/>
      <c r="K7" s="129">
        <v>0</v>
      </c>
      <c r="L7" s="131"/>
      <c r="M7" s="1"/>
      <c r="N7" s="117" t="s">
        <v>50</v>
      </c>
      <c r="O7" s="118">
        <v>0</v>
      </c>
      <c r="P7" s="1"/>
      <c r="Q7" s="1"/>
      <c r="R7" s="1"/>
      <c r="S7" s="1"/>
      <c r="T7" s="1"/>
      <c r="U7" s="1"/>
      <c r="V7" s="1"/>
      <c r="W7" s="1"/>
    </row>
    <row r="8" spans="1:23">
      <c r="A8" s="2">
        <f t="shared" si="1"/>
        <v>2029</v>
      </c>
      <c r="B8" s="26"/>
      <c r="C8" s="23"/>
      <c r="D8" s="31">
        <f t="shared" si="2"/>
        <v>12816413.532160003</v>
      </c>
      <c r="E8" s="55">
        <f t="shared" si="3"/>
        <v>1</v>
      </c>
      <c r="F8" s="1">
        <f t="shared" si="0"/>
        <v>12816413.532160003</v>
      </c>
      <c r="G8" s="1"/>
      <c r="H8" s="124">
        <v>0</v>
      </c>
      <c r="I8" s="126"/>
      <c r="J8" s="1"/>
      <c r="K8" s="129">
        <v>0</v>
      </c>
      <c r="L8" s="131"/>
      <c r="M8" s="1"/>
      <c r="N8" s="117" t="s">
        <v>51</v>
      </c>
      <c r="O8" s="118">
        <v>0</v>
      </c>
      <c r="P8" s="1"/>
      <c r="Q8" s="1"/>
      <c r="R8" s="1"/>
      <c r="S8" s="1"/>
      <c r="T8" s="1"/>
      <c r="U8" s="1"/>
      <c r="V8" s="1"/>
      <c r="W8" s="1"/>
    </row>
    <row r="9" spans="1:23">
      <c r="A9" s="2">
        <f t="shared" si="1"/>
        <v>2030</v>
      </c>
      <c r="B9" s="26"/>
      <c r="C9" s="23"/>
      <c r="D9" s="31">
        <f t="shared" si="2"/>
        <v>13636663.998218244</v>
      </c>
      <c r="E9" s="55">
        <f t="shared" si="3"/>
        <v>1</v>
      </c>
      <c r="F9" s="1">
        <f t="shared" si="0"/>
        <v>13636663.998218244</v>
      </c>
      <c r="G9" s="1"/>
      <c r="H9" s="124">
        <v>0</v>
      </c>
      <c r="I9" s="126"/>
      <c r="J9" s="1"/>
      <c r="K9" s="129">
        <v>0</v>
      </c>
      <c r="L9" s="131"/>
      <c r="M9" s="1"/>
      <c r="N9" s="117" t="s">
        <v>40</v>
      </c>
      <c r="O9" s="118">
        <v>0</v>
      </c>
      <c r="P9" s="1"/>
      <c r="Q9" s="1"/>
      <c r="R9" s="1"/>
      <c r="S9" s="1"/>
      <c r="T9" s="1"/>
      <c r="U9" s="1"/>
      <c r="V9" s="1"/>
      <c r="W9" s="1"/>
    </row>
    <row r="10" spans="1:23">
      <c r="A10" s="2">
        <f t="shared" si="1"/>
        <v>2031</v>
      </c>
      <c r="B10" s="26"/>
      <c r="C10" s="23"/>
      <c r="D10" s="31">
        <f t="shared" si="2"/>
        <v>14509410.494104212</v>
      </c>
      <c r="E10" s="55">
        <f t="shared" si="3"/>
        <v>1</v>
      </c>
      <c r="F10" s="1">
        <f t="shared" si="0"/>
        <v>14509410.494104212</v>
      </c>
      <c r="G10" s="1"/>
      <c r="H10" s="124">
        <v>0</v>
      </c>
      <c r="I10" s="126"/>
      <c r="J10" s="1"/>
      <c r="K10" s="129">
        <v>0</v>
      </c>
      <c r="L10" s="131"/>
      <c r="M10" s="1"/>
      <c r="N10" s="117" t="s">
        <v>42</v>
      </c>
      <c r="O10" s="118">
        <v>0</v>
      </c>
      <c r="P10" s="1"/>
      <c r="Q10" s="1"/>
      <c r="R10" s="1"/>
      <c r="S10" s="1"/>
      <c r="T10" s="1"/>
      <c r="U10" s="1"/>
      <c r="V10" s="1"/>
      <c r="W10" s="1"/>
    </row>
    <row r="11" spans="1:23">
      <c r="A11" s="2">
        <f t="shared" si="1"/>
        <v>2032</v>
      </c>
      <c r="B11" s="26"/>
      <c r="C11" s="23"/>
      <c r="D11" s="31">
        <f t="shared" si="2"/>
        <v>15438012.765726883</v>
      </c>
      <c r="E11" s="55">
        <f t="shared" si="3"/>
        <v>1</v>
      </c>
      <c r="F11" s="1">
        <f t="shared" si="0"/>
        <v>15438012.765726883</v>
      </c>
      <c r="G11" s="1"/>
      <c r="H11" s="124">
        <v>0</v>
      </c>
      <c r="I11" s="126"/>
      <c r="J11" s="1"/>
      <c r="K11" s="129">
        <v>0</v>
      </c>
      <c r="L11" s="131"/>
      <c r="M11" s="1"/>
      <c r="N11" s="117"/>
      <c r="O11" s="118"/>
      <c r="P11" s="1"/>
      <c r="Q11" s="1"/>
      <c r="R11" s="1"/>
      <c r="S11" s="1"/>
      <c r="T11" s="1"/>
      <c r="U11" s="1"/>
      <c r="V11" s="1"/>
      <c r="W11" s="1"/>
    </row>
    <row r="12" spans="1:23">
      <c r="A12" s="2">
        <f t="shared" si="1"/>
        <v>2033</v>
      </c>
      <c r="B12" s="26"/>
      <c r="C12" s="23"/>
      <c r="D12" s="31">
        <f t="shared" si="2"/>
        <v>16426045.582733404</v>
      </c>
      <c r="E12" s="55">
        <f t="shared" si="3"/>
        <v>1</v>
      </c>
      <c r="F12" s="1">
        <f t="shared" si="0"/>
        <v>16426045.582733404</v>
      </c>
      <c r="G12" s="1"/>
      <c r="H12" s="124">
        <v>0</v>
      </c>
      <c r="I12" s="126"/>
      <c r="J12" s="1"/>
      <c r="K12" s="129">
        <v>0</v>
      </c>
      <c r="L12" s="131"/>
      <c r="M12" s="1"/>
      <c r="N12" s="119" t="s">
        <v>1</v>
      </c>
      <c r="O12" s="120">
        <f>SUM(O4:O10)</f>
        <v>1</v>
      </c>
      <c r="P12" s="1"/>
      <c r="Q12" s="1"/>
      <c r="R12" s="1"/>
      <c r="S12" s="1"/>
      <c r="T12" s="1"/>
      <c r="U12" s="1"/>
      <c r="V12" s="1"/>
      <c r="W12" s="1"/>
    </row>
    <row r="13" spans="1:23">
      <c r="A13" s="2">
        <f t="shared" si="1"/>
        <v>2034</v>
      </c>
      <c r="B13" s="26"/>
      <c r="C13" s="23"/>
      <c r="D13" s="31">
        <f t="shared" si="2"/>
        <v>17477312.500028342</v>
      </c>
      <c r="E13" s="55">
        <f t="shared" si="3"/>
        <v>1</v>
      </c>
      <c r="F13" s="1">
        <f t="shared" si="0"/>
        <v>17477312.500028342</v>
      </c>
      <c r="G13" s="1"/>
      <c r="H13" s="124">
        <v>0</v>
      </c>
      <c r="I13" s="126"/>
      <c r="J13" s="1"/>
      <c r="K13" s="129">
        <v>0</v>
      </c>
      <c r="L13" s="13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2">
        <f t="shared" si="1"/>
        <v>2035</v>
      </c>
      <c r="B14" s="26"/>
      <c r="C14" s="23"/>
      <c r="D14" s="31">
        <f t="shared" si="2"/>
        <v>18595860.500030156</v>
      </c>
      <c r="E14" s="55">
        <f t="shared" si="3"/>
        <v>1</v>
      </c>
      <c r="F14" s="1">
        <f t="shared" si="0"/>
        <v>18595860.500030156</v>
      </c>
      <c r="G14" s="1"/>
      <c r="H14" s="124">
        <v>0</v>
      </c>
      <c r="I14" s="126"/>
      <c r="J14" s="1"/>
      <c r="K14" s="129">
        <v>0</v>
      </c>
      <c r="L14" s="13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2">
        <f t="shared" si="1"/>
        <v>2036</v>
      </c>
      <c r="B15" s="26"/>
      <c r="C15" s="23"/>
      <c r="D15" s="31">
        <f t="shared" si="2"/>
        <v>19785995.572032087</v>
      </c>
      <c r="E15" s="55">
        <f t="shared" si="3"/>
        <v>1</v>
      </c>
      <c r="F15" s="1">
        <f t="shared" si="0"/>
        <v>19785995.572032087</v>
      </c>
      <c r="G15" s="1"/>
      <c r="H15" s="124">
        <v>0</v>
      </c>
      <c r="I15" s="126"/>
      <c r="J15" s="1"/>
      <c r="K15" s="129">
        <v>0</v>
      </c>
      <c r="L15" s="13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2">
        <f t="shared" si="1"/>
        <v>2037</v>
      </c>
      <c r="B16" s="26"/>
      <c r="C16" s="23"/>
      <c r="D16" s="31">
        <f t="shared" si="2"/>
        <v>21052299.288642142</v>
      </c>
      <c r="E16" s="55">
        <f t="shared" si="3"/>
        <v>1</v>
      </c>
      <c r="F16" s="1">
        <f t="shared" si="0"/>
        <v>21052299.288642142</v>
      </c>
      <c r="G16" s="1"/>
      <c r="H16" s="124">
        <v>0</v>
      </c>
      <c r="I16" s="126"/>
      <c r="J16" s="1"/>
      <c r="K16" s="129">
        <v>0</v>
      </c>
      <c r="L16" s="13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2">
        <f t="shared" si="1"/>
        <v>2038</v>
      </c>
      <c r="B17" s="26"/>
      <c r="C17" s="23"/>
      <c r="D17" s="31">
        <f t="shared" si="2"/>
        <v>22399646.443115242</v>
      </c>
      <c r="E17" s="55">
        <f t="shared" si="3"/>
        <v>1</v>
      </c>
      <c r="F17" s="1">
        <f t="shared" si="0"/>
        <v>22399646.443115242</v>
      </c>
      <c r="G17" s="1"/>
      <c r="H17" s="124">
        <v>0</v>
      </c>
      <c r="I17" s="126"/>
      <c r="J17" s="1"/>
      <c r="K17" s="129">
        <v>0</v>
      </c>
      <c r="L17" s="13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2">
        <f t="shared" si="1"/>
        <v>2039</v>
      </c>
      <c r="B18" s="26"/>
      <c r="C18" s="23"/>
      <c r="D18" s="31">
        <f t="shared" si="2"/>
        <v>23833223.815474618</v>
      </c>
      <c r="E18" s="55">
        <f t="shared" si="3"/>
        <v>1</v>
      </c>
      <c r="F18" s="1">
        <f t="shared" si="0"/>
        <v>23833223.815474618</v>
      </c>
      <c r="G18" s="1"/>
      <c r="H18" s="124">
        <v>0</v>
      </c>
      <c r="I18" s="126"/>
      <c r="J18" s="1"/>
      <c r="K18" s="129">
        <v>0</v>
      </c>
      <c r="L18" s="13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3"/>
    </row>
    <row r="20" spans="1:23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"/>
    </row>
    <row r="21" spans="1:23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"/>
    </row>
    <row r="22" spans="1:23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3"/>
    </row>
    <row r="23" spans="1:23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3"/>
    </row>
    <row r="24" spans="1:23">
      <c r="A24" s="3"/>
      <c r="B24" s="3"/>
      <c r="C24" s="1"/>
      <c r="D24" s="1"/>
      <c r="E24" s="1"/>
      <c r="F24" s="41"/>
      <c r="G24" s="50"/>
      <c r="H24" s="51"/>
      <c r="I24" s="1"/>
      <c r="J24" s="1"/>
      <c r="K24" s="1"/>
      <c r="L24" s="1"/>
      <c r="M24" s="1"/>
      <c r="N24" s="1"/>
      <c r="O24" s="1"/>
      <c r="P24" s="1"/>
      <c r="Q24" s="1"/>
      <c r="R24" s="3"/>
    </row>
    <row r="25" spans="1:23">
      <c r="A25" s="3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"/>
    </row>
    <row r="26" spans="1:23">
      <c r="A26" s="3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"/>
    </row>
    <row r="27" spans="1:23">
      <c r="A27" s="132" t="s">
        <v>62</v>
      </c>
      <c r="B27" s="121" t="s">
        <v>302</v>
      </c>
      <c r="C27" s="114"/>
      <c r="D27" s="39" t="s">
        <v>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23" s="45" customFormat="1" ht="22.5">
      <c r="A28" s="42" t="s">
        <v>30</v>
      </c>
      <c r="B28" s="43" t="s">
        <v>0</v>
      </c>
      <c r="C28" s="44" t="s">
        <v>46</v>
      </c>
      <c r="D28" s="48">
        <v>2025</v>
      </c>
      <c r="E28" s="42">
        <f>D28+1</f>
        <v>2026</v>
      </c>
      <c r="F28" s="42">
        <f t="shared" ref="F28:R28" si="4">E28+1</f>
        <v>2027</v>
      </c>
      <c r="G28" s="42">
        <f t="shared" si="4"/>
        <v>2028</v>
      </c>
      <c r="H28" s="42">
        <f t="shared" si="4"/>
        <v>2029</v>
      </c>
      <c r="I28" s="42">
        <f t="shared" si="4"/>
        <v>2030</v>
      </c>
      <c r="J28" s="42">
        <f t="shared" si="4"/>
        <v>2031</v>
      </c>
      <c r="K28" s="42">
        <f t="shared" si="4"/>
        <v>2032</v>
      </c>
      <c r="L28" s="42">
        <f t="shared" si="4"/>
        <v>2033</v>
      </c>
      <c r="M28" s="42">
        <f t="shared" si="4"/>
        <v>2034</v>
      </c>
      <c r="N28" s="42">
        <f t="shared" si="4"/>
        <v>2035</v>
      </c>
      <c r="O28" s="42">
        <f t="shared" si="4"/>
        <v>2036</v>
      </c>
      <c r="P28" s="42">
        <f t="shared" si="4"/>
        <v>2037</v>
      </c>
      <c r="Q28" s="42">
        <f t="shared" si="4"/>
        <v>2038</v>
      </c>
      <c r="R28" s="42">
        <f t="shared" si="4"/>
        <v>2039</v>
      </c>
    </row>
    <row r="29" spans="1:23">
      <c r="R29" s="17"/>
    </row>
    <row r="30" spans="1:23">
      <c r="A30" s="21"/>
      <c r="B30" s="23">
        <v>0</v>
      </c>
      <c r="C30" s="20"/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</row>
    <row r="31" spans="1:23">
      <c r="R31" s="17"/>
    </row>
    <row r="32" spans="1:23">
      <c r="C32" s="57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</row>
    <row r="33" spans="1:18">
      <c r="C33" s="39"/>
      <c r="D33" s="39" t="s">
        <v>38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15" t="s">
        <v>30</v>
      </c>
      <c r="B34" s="16" t="s">
        <v>0</v>
      </c>
      <c r="C34" s="15"/>
      <c r="D34" s="15">
        <f t="shared" ref="D34:R34" si="5">D$100</f>
        <v>2025</v>
      </c>
      <c r="E34" s="15">
        <f t="shared" si="5"/>
        <v>2026</v>
      </c>
      <c r="F34" s="15">
        <f t="shared" si="5"/>
        <v>2027</v>
      </c>
      <c r="G34" s="15">
        <f t="shared" si="5"/>
        <v>2028</v>
      </c>
      <c r="H34" s="15">
        <f t="shared" si="5"/>
        <v>2029</v>
      </c>
      <c r="I34" s="15">
        <f t="shared" si="5"/>
        <v>2030</v>
      </c>
      <c r="J34" s="15">
        <f t="shared" si="5"/>
        <v>2031</v>
      </c>
      <c r="K34" s="15">
        <f t="shared" si="5"/>
        <v>2032</v>
      </c>
      <c r="L34" s="15">
        <f t="shared" si="5"/>
        <v>2033</v>
      </c>
      <c r="M34" s="15">
        <f t="shared" si="5"/>
        <v>2034</v>
      </c>
      <c r="N34" s="15">
        <f t="shared" si="5"/>
        <v>2035</v>
      </c>
      <c r="O34" s="15">
        <f t="shared" si="5"/>
        <v>2036</v>
      </c>
      <c r="P34" s="15">
        <f t="shared" si="5"/>
        <v>2037</v>
      </c>
      <c r="Q34" s="15">
        <f t="shared" si="5"/>
        <v>2038</v>
      </c>
      <c r="R34" s="15">
        <f t="shared" si="5"/>
        <v>2039</v>
      </c>
    </row>
    <row r="35" spans="1:18">
      <c r="A35" s="15"/>
      <c r="B35" s="1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>
      <c r="A36" s="21"/>
      <c r="B36" s="64">
        <v>0</v>
      </c>
      <c r="C36" s="20"/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</row>
    <row r="37" spans="1:18">
      <c r="A37" s="2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>
      <c r="C38" s="39"/>
      <c r="D38" s="39" t="s">
        <v>39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15" t="s">
        <v>30</v>
      </c>
      <c r="B39" s="16" t="s">
        <v>0</v>
      </c>
      <c r="C39" s="15"/>
      <c r="D39" s="15">
        <f t="shared" ref="D39:R39" si="6">D$100</f>
        <v>2025</v>
      </c>
      <c r="E39" s="15">
        <f t="shared" si="6"/>
        <v>2026</v>
      </c>
      <c r="F39" s="15">
        <f t="shared" si="6"/>
        <v>2027</v>
      </c>
      <c r="G39" s="15">
        <f t="shared" si="6"/>
        <v>2028</v>
      </c>
      <c r="H39" s="15">
        <f t="shared" si="6"/>
        <v>2029</v>
      </c>
      <c r="I39" s="15">
        <f t="shared" si="6"/>
        <v>2030</v>
      </c>
      <c r="J39" s="15">
        <f t="shared" si="6"/>
        <v>2031</v>
      </c>
      <c r="K39" s="15">
        <f t="shared" si="6"/>
        <v>2032</v>
      </c>
      <c r="L39" s="15">
        <f t="shared" si="6"/>
        <v>2033</v>
      </c>
      <c r="M39" s="15">
        <f t="shared" si="6"/>
        <v>2034</v>
      </c>
      <c r="N39" s="15">
        <f t="shared" si="6"/>
        <v>2035</v>
      </c>
      <c r="O39" s="15">
        <f t="shared" si="6"/>
        <v>2036</v>
      </c>
      <c r="P39" s="15">
        <f t="shared" si="6"/>
        <v>2037</v>
      </c>
      <c r="Q39" s="15">
        <f t="shared" si="6"/>
        <v>2038</v>
      </c>
      <c r="R39" s="15">
        <f t="shared" si="6"/>
        <v>2039</v>
      </c>
    </row>
    <row r="40" spans="1:18">
      <c r="R40" s="17"/>
    </row>
    <row r="41" spans="1:18">
      <c r="A41" s="21"/>
      <c r="B41" s="64">
        <v>0</v>
      </c>
      <c r="C41" s="20"/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</row>
    <row r="42" spans="1:18">
      <c r="R42" s="17"/>
    </row>
    <row r="43" spans="1:18">
      <c r="C43" s="39"/>
      <c r="D43" s="39" t="s">
        <v>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15" t="s">
        <v>30</v>
      </c>
      <c r="B44" s="16" t="s">
        <v>0</v>
      </c>
      <c r="C44" s="15"/>
      <c r="D44" s="15">
        <f t="shared" ref="D44:R44" si="7">D$100</f>
        <v>2025</v>
      </c>
      <c r="E44" s="15">
        <f t="shared" si="7"/>
        <v>2026</v>
      </c>
      <c r="F44" s="15">
        <f t="shared" si="7"/>
        <v>2027</v>
      </c>
      <c r="G44" s="15">
        <f t="shared" si="7"/>
        <v>2028</v>
      </c>
      <c r="H44" s="15">
        <f t="shared" si="7"/>
        <v>2029</v>
      </c>
      <c r="I44" s="15">
        <f t="shared" si="7"/>
        <v>2030</v>
      </c>
      <c r="J44" s="15">
        <f t="shared" si="7"/>
        <v>2031</v>
      </c>
      <c r="K44" s="15">
        <f t="shared" si="7"/>
        <v>2032</v>
      </c>
      <c r="L44" s="15">
        <f t="shared" si="7"/>
        <v>2033</v>
      </c>
      <c r="M44" s="15">
        <f t="shared" si="7"/>
        <v>2034</v>
      </c>
      <c r="N44" s="15">
        <f t="shared" si="7"/>
        <v>2035</v>
      </c>
      <c r="O44" s="15">
        <f t="shared" si="7"/>
        <v>2036</v>
      </c>
      <c r="P44" s="15">
        <f t="shared" si="7"/>
        <v>2037</v>
      </c>
      <c r="Q44" s="15">
        <f t="shared" si="7"/>
        <v>2038</v>
      </c>
      <c r="R44" s="15">
        <f t="shared" si="7"/>
        <v>2039</v>
      </c>
    </row>
    <row r="45" spans="1:18">
      <c r="R45" s="17"/>
    </row>
    <row r="46" spans="1:18">
      <c r="A46" s="21"/>
      <c r="B46" s="64">
        <v>0</v>
      </c>
      <c r="C46" s="20"/>
      <c r="D46" s="63">
        <f>D36+D41</f>
        <v>0</v>
      </c>
      <c r="E46" s="63">
        <f>E36+E41</f>
        <v>0</v>
      </c>
      <c r="F46" s="63">
        <f t="shared" ref="F46:R46" si="8">F36+F41</f>
        <v>0</v>
      </c>
      <c r="G46" s="63">
        <f t="shared" si="8"/>
        <v>0</v>
      </c>
      <c r="H46" s="63">
        <f t="shared" si="8"/>
        <v>0</v>
      </c>
      <c r="I46" s="63">
        <f t="shared" si="8"/>
        <v>0</v>
      </c>
      <c r="J46" s="63">
        <f t="shared" si="8"/>
        <v>0</v>
      </c>
      <c r="K46" s="63">
        <f t="shared" si="8"/>
        <v>0</v>
      </c>
      <c r="L46" s="63">
        <f t="shared" si="8"/>
        <v>0</v>
      </c>
      <c r="M46" s="63">
        <f t="shared" si="8"/>
        <v>0</v>
      </c>
      <c r="N46" s="63">
        <f t="shared" si="8"/>
        <v>0</v>
      </c>
      <c r="O46" s="63">
        <f t="shared" si="8"/>
        <v>0</v>
      </c>
      <c r="P46" s="63">
        <f t="shared" si="8"/>
        <v>0</v>
      </c>
      <c r="Q46" s="63">
        <f t="shared" si="8"/>
        <v>0</v>
      </c>
      <c r="R46" s="63">
        <f t="shared" si="8"/>
        <v>0</v>
      </c>
    </row>
    <row r="47" spans="1:18">
      <c r="A47" s="21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</row>
    <row r="48" spans="1:18">
      <c r="R48" s="17"/>
    </row>
    <row r="49" spans="1:18">
      <c r="A49" s="21" t="s">
        <v>37</v>
      </c>
      <c r="C49" s="20"/>
      <c r="D49" s="20">
        <f>D46</f>
        <v>0</v>
      </c>
      <c r="E49" s="20">
        <f>D49+E46</f>
        <v>0</v>
      </c>
      <c r="F49" s="20">
        <f>E49+F46</f>
        <v>0</v>
      </c>
      <c r="G49" s="20">
        <f>F49+G46</f>
        <v>0</v>
      </c>
      <c r="H49" s="20">
        <f>G49+H46</f>
        <v>0</v>
      </c>
      <c r="I49" s="20">
        <f t="shared" ref="I49:R49" si="9">H49+I46</f>
        <v>0</v>
      </c>
      <c r="J49" s="20">
        <f t="shared" si="9"/>
        <v>0</v>
      </c>
      <c r="K49" s="20">
        <f t="shared" si="9"/>
        <v>0</v>
      </c>
      <c r="L49" s="20">
        <f t="shared" si="9"/>
        <v>0</v>
      </c>
      <c r="M49" s="20">
        <f t="shared" si="9"/>
        <v>0</v>
      </c>
      <c r="N49" s="20">
        <f t="shared" si="9"/>
        <v>0</v>
      </c>
      <c r="O49" s="20">
        <f t="shared" si="9"/>
        <v>0</v>
      </c>
      <c r="P49" s="20">
        <f t="shared" si="9"/>
        <v>0</v>
      </c>
      <c r="Q49" s="20">
        <f t="shared" si="9"/>
        <v>0</v>
      </c>
      <c r="R49" s="20">
        <f t="shared" si="9"/>
        <v>0</v>
      </c>
    </row>
    <row r="50" spans="1:18">
      <c r="A50" s="3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3"/>
    </row>
    <row r="51" spans="1:18">
      <c r="A51" s="133" t="s">
        <v>300</v>
      </c>
      <c r="B51" s="3"/>
      <c r="C51" s="3"/>
      <c r="D51" s="39" t="s">
        <v>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s="45" customFormat="1" ht="22.5">
      <c r="A52" s="42" t="s">
        <v>30</v>
      </c>
      <c r="B52" s="43" t="s">
        <v>0</v>
      </c>
      <c r="C52" s="44" t="s">
        <v>46</v>
      </c>
      <c r="D52" s="48">
        <v>2025</v>
      </c>
      <c r="E52" s="42">
        <f>D52+1</f>
        <v>2026</v>
      </c>
      <c r="F52" s="42">
        <f t="shared" ref="F52:R52" si="10">E52+1</f>
        <v>2027</v>
      </c>
      <c r="G52" s="42">
        <f t="shared" si="10"/>
        <v>2028</v>
      </c>
      <c r="H52" s="42">
        <f t="shared" si="10"/>
        <v>2029</v>
      </c>
      <c r="I52" s="42">
        <f t="shared" si="10"/>
        <v>2030</v>
      </c>
      <c r="J52" s="42">
        <f t="shared" si="10"/>
        <v>2031</v>
      </c>
      <c r="K52" s="42">
        <f t="shared" si="10"/>
        <v>2032</v>
      </c>
      <c r="L52" s="42">
        <f t="shared" si="10"/>
        <v>2033</v>
      </c>
      <c r="M52" s="42">
        <f t="shared" si="10"/>
        <v>2034</v>
      </c>
      <c r="N52" s="42">
        <f t="shared" si="10"/>
        <v>2035</v>
      </c>
      <c r="O52" s="42">
        <f t="shared" si="10"/>
        <v>2036</v>
      </c>
      <c r="P52" s="42">
        <f t="shared" si="10"/>
        <v>2037</v>
      </c>
      <c r="Q52" s="42">
        <f t="shared" si="10"/>
        <v>2038</v>
      </c>
      <c r="R52" s="42">
        <f t="shared" si="10"/>
        <v>2039</v>
      </c>
    </row>
    <row r="53" spans="1:18">
      <c r="R53" s="17"/>
    </row>
    <row r="54" spans="1:18">
      <c r="A54" s="21"/>
      <c r="B54" s="23">
        <f>SUM(K4:K18)</f>
        <v>0</v>
      </c>
      <c r="C54" s="20"/>
      <c r="D54" s="64">
        <f>$K4</f>
        <v>0</v>
      </c>
      <c r="E54" s="64">
        <f>K4+K5</f>
        <v>0</v>
      </c>
      <c r="F54" s="64">
        <f>K4+K6+K5</f>
        <v>0</v>
      </c>
      <c r="G54" s="64">
        <f>K4+K5+K6+K7</f>
        <v>0</v>
      </c>
      <c r="H54" s="64">
        <f>K4+K5+K6+K7+K8</f>
        <v>0</v>
      </c>
      <c r="I54" s="64">
        <f>K4+K5+K6+K7+K8+K9</f>
        <v>0</v>
      </c>
      <c r="J54" s="64">
        <f>K4+K5+K6+K7+K8+K9+K10</f>
        <v>0</v>
      </c>
      <c r="K54" s="64">
        <f>K4+K5+K6+K7+K8+K9+K10+K11</f>
        <v>0</v>
      </c>
      <c r="L54" s="64">
        <f>K4+K5+K6+K7+K8+K9+K10+K11+K12</f>
        <v>0</v>
      </c>
      <c r="M54" s="64">
        <f>K4+K5+K6+K7+K8+K9+K10+K11+K12+K13</f>
        <v>0</v>
      </c>
      <c r="N54" s="64">
        <f>K4+K5+K6+K7+K8+K9+K10+K11+K12+K13+K14</f>
        <v>0</v>
      </c>
      <c r="O54" s="64">
        <f>K4+K5+K6+K7+K8+K9+K10+K11+K12+K13+K14+K15</f>
        <v>0</v>
      </c>
      <c r="P54" s="64">
        <f>K4+K5+K6+K7+K8+K9+K10+K11+K12+K13+K14+K15+K16</f>
        <v>0</v>
      </c>
      <c r="Q54" s="64">
        <f>K4+K5+K6+K7+K8+K9+K10+K11+K12+K13+K14+K15+K16+K17</f>
        <v>0</v>
      </c>
      <c r="R54" s="64">
        <f>K4+K5+K6+K7+K8+K9+K10+K11+K12+K13+K14+K15+K16+K17+K18</f>
        <v>0</v>
      </c>
    </row>
    <row r="55" spans="1:18">
      <c r="R55" s="17"/>
    </row>
    <row r="56" spans="1:18">
      <c r="C56" s="57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</row>
    <row r="57" spans="1:18">
      <c r="C57" s="39"/>
      <c r="D57" s="39" t="s">
        <v>38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15" t="s">
        <v>30</v>
      </c>
      <c r="B58" s="16" t="s">
        <v>0</v>
      </c>
      <c r="C58" s="15"/>
      <c r="D58" s="15">
        <f t="shared" ref="D58:R58" si="11">D$100</f>
        <v>2025</v>
      </c>
      <c r="E58" s="15">
        <f t="shared" si="11"/>
        <v>2026</v>
      </c>
      <c r="F58" s="15">
        <f t="shared" si="11"/>
        <v>2027</v>
      </c>
      <c r="G58" s="15">
        <f t="shared" si="11"/>
        <v>2028</v>
      </c>
      <c r="H58" s="15">
        <f t="shared" si="11"/>
        <v>2029</v>
      </c>
      <c r="I58" s="15">
        <f t="shared" si="11"/>
        <v>2030</v>
      </c>
      <c r="J58" s="15">
        <f t="shared" si="11"/>
        <v>2031</v>
      </c>
      <c r="K58" s="15">
        <f t="shared" si="11"/>
        <v>2032</v>
      </c>
      <c r="L58" s="15">
        <f t="shared" si="11"/>
        <v>2033</v>
      </c>
      <c r="M58" s="15">
        <f t="shared" si="11"/>
        <v>2034</v>
      </c>
      <c r="N58" s="15">
        <f t="shared" si="11"/>
        <v>2035</v>
      </c>
      <c r="O58" s="15">
        <f t="shared" si="11"/>
        <v>2036</v>
      </c>
      <c r="P58" s="15">
        <f t="shared" si="11"/>
        <v>2037</v>
      </c>
      <c r="Q58" s="15">
        <f t="shared" si="11"/>
        <v>2038</v>
      </c>
      <c r="R58" s="15">
        <f t="shared" si="11"/>
        <v>2039</v>
      </c>
    </row>
    <row r="59" spans="1:18">
      <c r="A59" s="15"/>
      <c r="B59" s="16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8">
      <c r="A60" s="21"/>
      <c r="B60" s="23">
        <f>SUM(K4:K18)</f>
        <v>0</v>
      </c>
      <c r="C60" s="20"/>
      <c r="D60" s="64">
        <f>-K4</f>
        <v>0</v>
      </c>
      <c r="E60" s="64">
        <f>-$K5</f>
        <v>0</v>
      </c>
      <c r="F60" s="64">
        <f>-$K6</f>
        <v>0</v>
      </c>
      <c r="G60" s="64">
        <f>-$K7</f>
        <v>0</v>
      </c>
      <c r="H60" s="64">
        <f>-$K8</f>
        <v>0</v>
      </c>
      <c r="I60" s="64">
        <f>-$K9</f>
        <v>0</v>
      </c>
      <c r="J60" s="64">
        <f>-$K10</f>
        <v>0</v>
      </c>
      <c r="K60" s="64">
        <f>-$K11</f>
        <v>0</v>
      </c>
      <c r="L60" s="64">
        <f>-$K12</f>
        <v>0</v>
      </c>
      <c r="M60" s="64">
        <f>-$K13</f>
        <v>0</v>
      </c>
      <c r="N60" s="64">
        <f>-$K14</f>
        <v>0</v>
      </c>
      <c r="O60" s="64">
        <f>-$K15</f>
        <v>0</v>
      </c>
      <c r="P60" s="64">
        <f>-$K16</f>
        <v>0</v>
      </c>
      <c r="Q60" s="64">
        <f>-$K17</f>
        <v>0</v>
      </c>
      <c r="R60" s="64">
        <f>-$K18</f>
        <v>0</v>
      </c>
    </row>
    <row r="61" spans="1:18">
      <c r="A61" s="21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18">
      <c r="C62" s="39"/>
      <c r="D62" s="39" t="s">
        <v>39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15" t="s">
        <v>30</v>
      </c>
      <c r="B63" s="16" t="s">
        <v>0</v>
      </c>
      <c r="C63" s="15"/>
      <c r="D63" s="15">
        <f t="shared" ref="D63:R63" si="12">D$100</f>
        <v>2025</v>
      </c>
      <c r="E63" s="15">
        <f t="shared" si="12"/>
        <v>2026</v>
      </c>
      <c r="F63" s="15">
        <f t="shared" si="12"/>
        <v>2027</v>
      </c>
      <c r="G63" s="15">
        <f t="shared" si="12"/>
        <v>2028</v>
      </c>
      <c r="H63" s="15">
        <f t="shared" si="12"/>
        <v>2029</v>
      </c>
      <c r="I63" s="15">
        <f t="shared" si="12"/>
        <v>2030</v>
      </c>
      <c r="J63" s="15">
        <f t="shared" si="12"/>
        <v>2031</v>
      </c>
      <c r="K63" s="15">
        <f t="shared" si="12"/>
        <v>2032</v>
      </c>
      <c r="L63" s="15">
        <f t="shared" si="12"/>
        <v>2033</v>
      </c>
      <c r="M63" s="15">
        <f t="shared" si="12"/>
        <v>2034</v>
      </c>
      <c r="N63" s="15">
        <f t="shared" si="12"/>
        <v>2035</v>
      </c>
      <c r="O63" s="15">
        <f t="shared" si="12"/>
        <v>2036</v>
      </c>
      <c r="P63" s="15">
        <f t="shared" si="12"/>
        <v>2037</v>
      </c>
      <c r="Q63" s="15">
        <f t="shared" si="12"/>
        <v>2038</v>
      </c>
      <c r="R63" s="15">
        <f t="shared" si="12"/>
        <v>2039</v>
      </c>
    </row>
    <row r="64" spans="1:18">
      <c r="R64" s="17"/>
    </row>
    <row r="65" spans="1:18">
      <c r="A65" s="21"/>
      <c r="B65" s="23">
        <f>SUM(K4:K18)</f>
        <v>0</v>
      </c>
      <c r="C65" s="20"/>
      <c r="D65" s="17">
        <f>K4*$L$4</f>
        <v>0</v>
      </c>
      <c r="E65" s="17">
        <f>SUM($K4:$K5)*$L$4</f>
        <v>0</v>
      </c>
      <c r="F65" s="17">
        <f>SUM($K4:$K6)*$L$4</f>
        <v>0</v>
      </c>
      <c r="G65" s="17">
        <f>SUM($K4:$K7)*$L$4</f>
        <v>0</v>
      </c>
      <c r="H65" s="17">
        <f>SUM($K4:$K8)*$L$4</f>
        <v>0</v>
      </c>
      <c r="I65" s="17">
        <f>SUM($K4:$K9)*$L$4</f>
        <v>0</v>
      </c>
      <c r="J65" s="17">
        <f>SUM($K4:$K10)*$L$4</f>
        <v>0</v>
      </c>
      <c r="K65" s="17">
        <f>SUM($K4:$K11)*$L$4</f>
        <v>0</v>
      </c>
      <c r="L65" s="17">
        <f>SUM($K4:$K12)*$L$4</f>
        <v>0</v>
      </c>
      <c r="M65" s="17">
        <f>SUM($K4:$K13)*$L$4</f>
        <v>0</v>
      </c>
      <c r="N65" s="17">
        <f>SUM($K4:$K14)*$L$4</f>
        <v>0</v>
      </c>
      <c r="O65" s="17">
        <f>SUM($K4:$K15)*$L$4</f>
        <v>0</v>
      </c>
      <c r="P65" s="17">
        <f>SUM($K4:$K16)*$L$4</f>
        <v>0</v>
      </c>
      <c r="Q65" s="17">
        <f>SUM($K4:$K17)*$L$4</f>
        <v>0</v>
      </c>
      <c r="R65" s="17">
        <f>SUM($K4:$K18)*$L$4</f>
        <v>0</v>
      </c>
    </row>
    <row r="66" spans="1:18">
      <c r="R66" s="17"/>
    </row>
    <row r="67" spans="1:18">
      <c r="C67" s="39"/>
      <c r="D67" s="39" t="s">
        <v>2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15" t="s">
        <v>30</v>
      </c>
      <c r="B68" s="16" t="s">
        <v>0</v>
      </c>
      <c r="C68" s="15"/>
      <c r="D68" s="15">
        <f t="shared" ref="D68:R68" si="13">D$100</f>
        <v>2025</v>
      </c>
      <c r="E68" s="15">
        <f t="shared" si="13"/>
        <v>2026</v>
      </c>
      <c r="F68" s="15">
        <f t="shared" si="13"/>
        <v>2027</v>
      </c>
      <c r="G68" s="15">
        <f t="shared" si="13"/>
        <v>2028</v>
      </c>
      <c r="H68" s="15">
        <f t="shared" si="13"/>
        <v>2029</v>
      </c>
      <c r="I68" s="15">
        <f t="shared" si="13"/>
        <v>2030</v>
      </c>
      <c r="J68" s="15">
        <f t="shared" si="13"/>
        <v>2031</v>
      </c>
      <c r="K68" s="15">
        <f t="shared" si="13"/>
        <v>2032</v>
      </c>
      <c r="L68" s="15">
        <f t="shared" si="13"/>
        <v>2033</v>
      </c>
      <c r="M68" s="15">
        <f t="shared" si="13"/>
        <v>2034</v>
      </c>
      <c r="N68" s="15">
        <f t="shared" si="13"/>
        <v>2035</v>
      </c>
      <c r="O68" s="15">
        <f t="shared" si="13"/>
        <v>2036</v>
      </c>
      <c r="P68" s="15">
        <f t="shared" si="13"/>
        <v>2037</v>
      </c>
      <c r="Q68" s="15">
        <f t="shared" si="13"/>
        <v>2038</v>
      </c>
      <c r="R68" s="15">
        <f t="shared" si="13"/>
        <v>2039</v>
      </c>
    </row>
    <row r="69" spans="1:18">
      <c r="R69" s="17"/>
    </row>
    <row r="70" spans="1:18">
      <c r="A70" s="21"/>
      <c r="B70" s="23">
        <f>SUM(K4:K18)</f>
        <v>0</v>
      </c>
      <c r="C70" s="20"/>
      <c r="D70" s="63">
        <f>D60+D65</f>
        <v>0</v>
      </c>
      <c r="E70" s="63">
        <f t="shared" ref="E70:R70" si="14">E60+E65</f>
        <v>0</v>
      </c>
      <c r="F70" s="63">
        <f t="shared" si="14"/>
        <v>0</v>
      </c>
      <c r="G70" s="63">
        <f t="shared" si="14"/>
        <v>0</v>
      </c>
      <c r="H70" s="63">
        <f t="shared" si="14"/>
        <v>0</v>
      </c>
      <c r="I70" s="63">
        <f t="shared" si="14"/>
        <v>0</v>
      </c>
      <c r="J70" s="63">
        <f t="shared" si="14"/>
        <v>0</v>
      </c>
      <c r="K70" s="63">
        <f t="shared" si="14"/>
        <v>0</v>
      </c>
      <c r="L70" s="63">
        <f t="shared" si="14"/>
        <v>0</v>
      </c>
      <c r="M70" s="63">
        <f t="shared" si="14"/>
        <v>0</v>
      </c>
      <c r="N70" s="63">
        <f t="shared" si="14"/>
        <v>0</v>
      </c>
      <c r="O70" s="63">
        <f t="shared" si="14"/>
        <v>0</v>
      </c>
      <c r="P70" s="63">
        <f t="shared" si="14"/>
        <v>0</v>
      </c>
      <c r="Q70" s="63">
        <f t="shared" si="14"/>
        <v>0</v>
      </c>
      <c r="R70" s="63">
        <f t="shared" si="14"/>
        <v>0</v>
      </c>
    </row>
    <row r="71" spans="1:18">
      <c r="A71" s="21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1:18">
      <c r="R72" s="17"/>
    </row>
    <row r="73" spans="1:18">
      <c r="A73" s="21" t="s">
        <v>37</v>
      </c>
      <c r="C73" s="20"/>
      <c r="D73" s="20">
        <f>D70</f>
        <v>0</v>
      </c>
      <c r="E73" s="20">
        <f>D73+E70</f>
        <v>0</v>
      </c>
      <c r="F73" s="20">
        <f>E73+F70</f>
        <v>0</v>
      </c>
      <c r="G73" s="20">
        <f>F73+G70</f>
        <v>0</v>
      </c>
      <c r="H73" s="20">
        <f>G73+H70</f>
        <v>0</v>
      </c>
      <c r="I73" s="20">
        <f t="shared" ref="I73:R73" si="15">H73+I70</f>
        <v>0</v>
      </c>
      <c r="J73" s="20">
        <f t="shared" si="15"/>
        <v>0</v>
      </c>
      <c r="K73" s="20">
        <f t="shared" si="15"/>
        <v>0</v>
      </c>
      <c r="L73" s="20">
        <f t="shared" si="15"/>
        <v>0</v>
      </c>
      <c r="M73" s="20">
        <f t="shared" si="15"/>
        <v>0</v>
      </c>
      <c r="N73" s="20">
        <f t="shared" si="15"/>
        <v>0</v>
      </c>
      <c r="O73" s="20">
        <f t="shared" si="15"/>
        <v>0</v>
      </c>
      <c r="P73" s="20">
        <f t="shared" si="15"/>
        <v>0</v>
      </c>
      <c r="Q73" s="20">
        <f t="shared" si="15"/>
        <v>0</v>
      </c>
      <c r="R73" s="20">
        <f t="shared" si="15"/>
        <v>0</v>
      </c>
    </row>
    <row r="74" spans="1:18">
      <c r="A74" s="3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3"/>
    </row>
    <row r="75" spans="1:18">
      <c r="A75" s="134" t="s">
        <v>299</v>
      </c>
      <c r="B75" s="3"/>
      <c r="C75" s="3"/>
      <c r="D75" s="39" t="s">
        <v>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s="45" customFormat="1" ht="22.5">
      <c r="A76" s="42" t="s">
        <v>30</v>
      </c>
      <c r="B76" s="43" t="s">
        <v>0</v>
      </c>
      <c r="C76" s="44" t="s">
        <v>46</v>
      </c>
      <c r="D76" s="48">
        <v>2025</v>
      </c>
      <c r="E76" s="42">
        <f>D76+1</f>
        <v>2026</v>
      </c>
      <c r="F76" s="42">
        <f t="shared" ref="F76:R76" si="16">E76+1</f>
        <v>2027</v>
      </c>
      <c r="G76" s="42">
        <f t="shared" si="16"/>
        <v>2028</v>
      </c>
      <c r="H76" s="42">
        <f t="shared" si="16"/>
        <v>2029</v>
      </c>
      <c r="I76" s="42">
        <f t="shared" si="16"/>
        <v>2030</v>
      </c>
      <c r="J76" s="42">
        <f t="shared" si="16"/>
        <v>2031</v>
      </c>
      <c r="K76" s="42">
        <f t="shared" si="16"/>
        <v>2032</v>
      </c>
      <c r="L76" s="42">
        <f t="shared" si="16"/>
        <v>2033</v>
      </c>
      <c r="M76" s="42">
        <f t="shared" si="16"/>
        <v>2034</v>
      </c>
      <c r="N76" s="42">
        <f t="shared" si="16"/>
        <v>2035</v>
      </c>
      <c r="O76" s="42">
        <f t="shared" si="16"/>
        <v>2036</v>
      </c>
      <c r="P76" s="42">
        <f t="shared" si="16"/>
        <v>2037</v>
      </c>
      <c r="Q76" s="42">
        <f t="shared" si="16"/>
        <v>2038</v>
      </c>
      <c r="R76" s="42">
        <f t="shared" si="16"/>
        <v>2039</v>
      </c>
    </row>
    <row r="77" spans="1:18">
      <c r="R77" s="17"/>
    </row>
    <row r="78" spans="1:18">
      <c r="A78" s="21"/>
      <c r="B78" s="23">
        <f>SUM(H4:H18)</f>
        <v>10000000</v>
      </c>
      <c r="C78" s="20"/>
      <c r="D78" s="64">
        <f>H4*(1+$I$4)</f>
        <v>10939000.000000002</v>
      </c>
      <c r="E78" s="64">
        <f t="shared" ref="E78:R78" si="17">D78*(1+$I$4)+E$84*(1+$I$4)</f>
        <v>11966172.100000003</v>
      </c>
      <c r="F78" s="64">
        <f t="shared" si="17"/>
        <v>13089795.660190005</v>
      </c>
      <c r="G78" s="64">
        <f t="shared" si="17"/>
        <v>14318927.472681848</v>
      </c>
      <c r="H78" s="64">
        <f t="shared" si="17"/>
        <v>15663474.762366675</v>
      </c>
      <c r="I78" s="64">
        <f t="shared" si="17"/>
        <v>17134275.042552907</v>
      </c>
      <c r="J78" s="64">
        <f t="shared" si="17"/>
        <v>18743183.469048627</v>
      </c>
      <c r="K78" s="64">
        <f t="shared" si="17"/>
        <v>20503168.396792296</v>
      </c>
      <c r="L78" s="64">
        <f t="shared" si="17"/>
        <v>22428415.909251094</v>
      </c>
      <c r="M78" s="64">
        <f t="shared" si="17"/>
        <v>24534444.163129773</v>
      </c>
      <c r="N78" s="64">
        <f t="shared" si="17"/>
        <v>26838228.47004766</v>
      </c>
      <c r="O78" s="64">
        <f t="shared" si="17"/>
        <v>29358338.123385139</v>
      </c>
      <c r="P78" s="64">
        <f t="shared" si="17"/>
        <v>32115086.073171005</v>
      </c>
      <c r="Q78" s="64">
        <f t="shared" si="17"/>
        <v>35130692.655441768</v>
      </c>
      <c r="R78" s="64">
        <f t="shared" si="17"/>
        <v>38429464.69578775</v>
      </c>
    </row>
    <row r="79" spans="1:18">
      <c r="R79" s="17"/>
    </row>
    <row r="80" spans="1:18">
      <c r="C80" s="57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</row>
    <row r="81" spans="1:18">
      <c r="C81" s="39"/>
      <c r="D81" s="39" t="s">
        <v>38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15" t="s">
        <v>30</v>
      </c>
      <c r="B82" s="16" t="s">
        <v>0</v>
      </c>
      <c r="C82" s="15"/>
      <c r="D82" s="15">
        <f t="shared" ref="D82:R82" si="18">D$100</f>
        <v>2025</v>
      </c>
      <c r="E82" s="15">
        <f t="shared" si="18"/>
        <v>2026</v>
      </c>
      <c r="F82" s="15">
        <f t="shared" si="18"/>
        <v>2027</v>
      </c>
      <c r="G82" s="15">
        <f t="shared" si="18"/>
        <v>2028</v>
      </c>
      <c r="H82" s="15">
        <f t="shared" si="18"/>
        <v>2029</v>
      </c>
      <c r="I82" s="15">
        <f t="shared" si="18"/>
        <v>2030</v>
      </c>
      <c r="J82" s="15">
        <f t="shared" si="18"/>
        <v>2031</v>
      </c>
      <c r="K82" s="15">
        <f t="shared" si="18"/>
        <v>2032</v>
      </c>
      <c r="L82" s="15">
        <f t="shared" si="18"/>
        <v>2033</v>
      </c>
      <c r="M82" s="15">
        <f t="shared" si="18"/>
        <v>2034</v>
      </c>
      <c r="N82" s="15">
        <f t="shared" si="18"/>
        <v>2035</v>
      </c>
      <c r="O82" s="15">
        <f t="shared" si="18"/>
        <v>2036</v>
      </c>
      <c r="P82" s="15">
        <f t="shared" si="18"/>
        <v>2037</v>
      </c>
      <c r="Q82" s="15">
        <f t="shared" si="18"/>
        <v>2038</v>
      </c>
      <c r="R82" s="15">
        <f t="shared" si="18"/>
        <v>2039</v>
      </c>
    </row>
    <row r="83" spans="1:18">
      <c r="A83" s="15"/>
      <c r="B83" s="1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>
      <c r="A84" s="21"/>
      <c r="B84" s="113">
        <f>SUM(H4:H18)</f>
        <v>10000000</v>
      </c>
      <c r="C84" s="20"/>
      <c r="D84" s="64">
        <f>-$H4</f>
        <v>-10000000</v>
      </c>
      <c r="E84" s="64">
        <f>-$H5</f>
        <v>0</v>
      </c>
      <c r="F84" s="64">
        <f>-$H6</f>
        <v>0</v>
      </c>
      <c r="G84" s="64">
        <f>-$H7</f>
        <v>0</v>
      </c>
      <c r="H84" s="64">
        <f>-$H8</f>
        <v>0</v>
      </c>
      <c r="I84" s="64">
        <f>-$H9</f>
        <v>0</v>
      </c>
      <c r="J84" s="64">
        <f>-$H10</f>
        <v>0</v>
      </c>
      <c r="K84" s="64">
        <f>-$H11</f>
        <v>0</v>
      </c>
      <c r="L84" s="64">
        <f>-H12</f>
        <v>0</v>
      </c>
      <c r="M84" s="64">
        <f>-H13</f>
        <v>0</v>
      </c>
      <c r="N84" s="64">
        <f>-H14</f>
        <v>0</v>
      </c>
      <c r="O84" s="64">
        <f>-H15</f>
        <v>0</v>
      </c>
      <c r="P84" s="64">
        <f>-H16</f>
        <v>0</v>
      </c>
      <c r="Q84" s="64">
        <f>-H17</f>
        <v>0</v>
      </c>
      <c r="R84" s="64">
        <f>-H18</f>
        <v>0</v>
      </c>
    </row>
    <row r="85" spans="1:18">
      <c r="A85" s="21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1:18">
      <c r="C86" s="39"/>
      <c r="D86" s="39" t="s">
        <v>39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15" t="s">
        <v>30</v>
      </c>
      <c r="B87" s="16" t="s">
        <v>0</v>
      </c>
      <c r="C87" s="15"/>
      <c r="D87" s="15">
        <f t="shared" ref="D87:R87" si="19">D$100</f>
        <v>2025</v>
      </c>
      <c r="E87" s="15">
        <f t="shared" si="19"/>
        <v>2026</v>
      </c>
      <c r="F87" s="15">
        <f t="shared" si="19"/>
        <v>2027</v>
      </c>
      <c r="G87" s="15">
        <f t="shared" si="19"/>
        <v>2028</v>
      </c>
      <c r="H87" s="15">
        <f t="shared" si="19"/>
        <v>2029</v>
      </c>
      <c r="I87" s="15">
        <f t="shared" si="19"/>
        <v>2030</v>
      </c>
      <c r="J87" s="15">
        <f t="shared" si="19"/>
        <v>2031</v>
      </c>
      <c r="K87" s="15">
        <f t="shared" si="19"/>
        <v>2032</v>
      </c>
      <c r="L87" s="15">
        <f t="shared" si="19"/>
        <v>2033</v>
      </c>
      <c r="M87" s="15">
        <f t="shared" si="19"/>
        <v>2034</v>
      </c>
      <c r="N87" s="15">
        <f t="shared" si="19"/>
        <v>2035</v>
      </c>
      <c r="O87" s="15">
        <f t="shared" si="19"/>
        <v>2036</v>
      </c>
      <c r="P87" s="15">
        <f t="shared" si="19"/>
        <v>2037</v>
      </c>
      <c r="Q87" s="15">
        <f t="shared" si="19"/>
        <v>2038</v>
      </c>
      <c r="R87" s="15">
        <f t="shared" si="19"/>
        <v>2039</v>
      </c>
    </row>
    <row r="88" spans="1:18">
      <c r="R88" s="17"/>
    </row>
    <row r="89" spans="1:18">
      <c r="A89" s="21"/>
      <c r="B89" s="113">
        <f>SUM(H4:H18)</f>
        <v>10000000</v>
      </c>
      <c r="C89" s="20"/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</row>
    <row r="90" spans="1:18">
      <c r="R90" s="17"/>
    </row>
    <row r="91" spans="1:18">
      <c r="C91" s="39"/>
      <c r="D91" s="39" t="s">
        <v>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15" t="s">
        <v>30</v>
      </c>
      <c r="B92" s="16" t="s">
        <v>0</v>
      </c>
      <c r="C92" s="15"/>
      <c r="D92" s="15">
        <f t="shared" ref="D92:R92" si="20">D$100</f>
        <v>2025</v>
      </c>
      <c r="E92" s="15">
        <f t="shared" si="20"/>
        <v>2026</v>
      </c>
      <c r="F92" s="15">
        <f t="shared" si="20"/>
        <v>2027</v>
      </c>
      <c r="G92" s="15">
        <f t="shared" si="20"/>
        <v>2028</v>
      </c>
      <c r="H92" s="15">
        <f t="shared" si="20"/>
        <v>2029</v>
      </c>
      <c r="I92" s="15">
        <f t="shared" si="20"/>
        <v>2030</v>
      </c>
      <c r="J92" s="15">
        <f t="shared" si="20"/>
        <v>2031</v>
      </c>
      <c r="K92" s="15">
        <f t="shared" si="20"/>
        <v>2032</v>
      </c>
      <c r="L92" s="15">
        <f t="shared" si="20"/>
        <v>2033</v>
      </c>
      <c r="M92" s="15">
        <f t="shared" si="20"/>
        <v>2034</v>
      </c>
      <c r="N92" s="15">
        <f t="shared" si="20"/>
        <v>2035</v>
      </c>
      <c r="O92" s="15">
        <f t="shared" si="20"/>
        <v>2036</v>
      </c>
      <c r="P92" s="15">
        <f t="shared" si="20"/>
        <v>2037</v>
      </c>
      <c r="Q92" s="15">
        <f t="shared" si="20"/>
        <v>2038</v>
      </c>
      <c r="R92" s="15">
        <f t="shared" si="20"/>
        <v>2039</v>
      </c>
    </row>
    <row r="93" spans="1:18">
      <c r="R93" s="17"/>
    </row>
    <row r="94" spans="1:18">
      <c r="A94" s="21"/>
      <c r="B94" s="113">
        <f>SUM(H4:H18)</f>
        <v>10000000</v>
      </c>
      <c r="C94" s="20"/>
      <c r="D94" s="63">
        <f>D84+D89</f>
        <v>-10000000</v>
      </c>
      <c r="E94" s="63">
        <f t="shared" ref="E94:R94" si="21">E84+E89</f>
        <v>0</v>
      </c>
      <c r="F94" s="63">
        <f t="shared" si="21"/>
        <v>0</v>
      </c>
      <c r="G94" s="63">
        <f t="shared" si="21"/>
        <v>0</v>
      </c>
      <c r="H94" s="63">
        <f t="shared" si="21"/>
        <v>0</v>
      </c>
      <c r="I94" s="63">
        <f t="shared" si="21"/>
        <v>0</v>
      </c>
      <c r="J94" s="63">
        <f t="shared" si="21"/>
        <v>0</v>
      </c>
      <c r="K94" s="63">
        <f t="shared" si="21"/>
        <v>0</v>
      </c>
      <c r="L94" s="63">
        <f t="shared" si="21"/>
        <v>0</v>
      </c>
      <c r="M94" s="63">
        <f t="shared" si="21"/>
        <v>0</v>
      </c>
      <c r="N94" s="63">
        <f t="shared" si="21"/>
        <v>0</v>
      </c>
      <c r="O94" s="63">
        <f t="shared" si="21"/>
        <v>0</v>
      </c>
      <c r="P94" s="63">
        <f t="shared" si="21"/>
        <v>0</v>
      </c>
      <c r="Q94" s="63">
        <f t="shared" si="21"/>
        <v>0</v>
      </c>
      <c r="R94" s="63">
        <f t="shared" si="21"/>
        <v>0</v>
      </c>
    </row>
    <row r="95" spans="1:18">
      <c r="A95" s="21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1:18">
      <c r="R96" s="17"/>
    </row>
    <row r="97" spans="1:18">
      <c r="A97" s="21" t="s">
        <v>37</v>
      </c>
      <c r="C97" s="20"/>
      <c r="D97" s="20">
        <f>SUM($D$94:D94)</f>
        <v>-10000000</v>
      </c>
      <c r="E97" s="20">
        <f>SUM($D$94:E94)</f>
        <v>-10000000</v>
      </c>
      <c r="F97" s="20">
        <f>SUM($D$94:F94)</f>
        <v>-10000000</v>
      </c>
      <c r="G97" s="20">
        <f>SUM($D$94:G94)</f>
        <v>-10000000</v>
      </c>
      <c r="H97" s="20">
        <f>SUM($D$94:H94)</f>
        <v>-10000000</v>
      </c>
      <c r="I97" s="20">
        <f>SUM($D$94:I94)</f>
        <v>-10000000</v>
      </c>
      <c r="J97" s="20">
        <f>SUM($D$94:J94)</f>
        <v>-10000000</v>
      </c>
      <c r="K97" s="20">
        <f>SUM($D$94:K94)</f>
        <v>-10000000</v>
      </c>
      <c r="L97" s="20">
        <f>SUM($D$94:L94)</f>
        <v>-10000000</v>
      </c>
      <c r="M97" s="20">
        <f>SUM($D$94:M94)</f>
        <v>-10000000</v>
      </c>
      <c r="N97" s="20">
        <f>SUM($D$94:N94)</f>
        <v>-10000000</v>
      </c>
      <c r="O97" s="20">
        <f>SUM($D$94:O94)</f>
        <v>-10000000</v>
      </c>
      <c r="P97" s="20">
        <f>SUM($D$94:P94)</f>
        <v>-10000000</v>
      </c>
      <c r="Q97" s="20">
        <f>SUM($D$94:Q94)</f>
        <v>-10000000</v>
      </c>
      <c r="R97" s="20">
        <f>SUM($D$94:R94)</f>
        <v>-10000000</v>
      </c>
    </row>
    <row r="98" spans="1:18">
      <c r="A98" s="60"/>
      <c r="B98" s="61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</row>
    <row r="99" spans="1:18">
      <c r="A99" s="135" t="s">
        <v>298</v>
      </c>
      <c r="B99" s="3"/>
      <c r="C99" s="3"/>
      <c r="D99" s="39" t="s">
        <v>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s="45" customFormat="1" ht="22.5">
      <c r="A100" s="42" t="s">
        <v>30</v>
      </c>
      <c r="B100" s="43" t="s">
        <v>0</v>
      </c>
      <c r="C100" s="44" t="s">
        <v>46</v>
      </c>
      <c r="D100" s="48">
        <v>2025</v>
      </c>
      <c r="E100" s="42">
        <f>D100+1</f>
        <v>2026</v>
      </c>
      <c r="F100" s="42">
        <f t="shared" ref="F100:R100" si="22">E100+1</f>
        <v>2027</v>
      </c>
      <c r="G100" s="42">
        <f t="shared" si="22"/>
        <v>2028</v>
      </c>
      <c r="H100" s="42">
        <f t="shared" si="22"/>
        <v>2029</v>
      </c>
      <c r="I100" s="42">
        <f t="shared" si="22"/>
        <v>2030</v>
      </c>
      <c r="J100" s="42">
        <f t="shared" si="22"/>
        <v>2031</v>
      </c>
      <c r="K100" s="42">
        <f t="shared" si="22"/>
        <v>2032</v>
      </c>
      <c r="L100" s="42">
        <f t="shared" si="22"/>
        <v>2033</v>
      </c>
      <c r="M100" s="42">
        <f t="shared" si="22"/>
        <v>2034</v>
      </c>
      <c r="N100" s="42">
        <f t="shared" si="22"/>
        <v>2035</v>
      </c>
      <c r="O100" s="42">
        <f t="shared" si="22"/>
        <v>2036</v>
      </c>
      <c r="P100" s="42">
        <f t="shared" si="22"/>
        <v>2037</v>
      </c>
      <c r="Q100" s="42">
        <f t="shared" si="22"/>
        <v>2038</v>
      </c>
      <c r="R100" s="42">
        <f t="shared" si="22"/>
        <v>2039</v>
      </c>
    </row>
    <row r="101" spans="1:18">
      <c r="A101" s="49">
        <v>2025</v>
      </c>
      <c r="B101" s="23"/>
      <c r="C101" s="46">
        <f t="shared" ref="C101:C115" si="23">B101/$D4</f>
        <v>0</v>
      </c>
      <c r="D101" s="17">
        <f>VLOOKUP(D$100,'Aggregated Median CA data'!$D$126:$M$140,5,0)*$B101</f>
        <v>0</v>
      </c>
      <c r="E101" s="17">
        <f>VLOOKUP(E$100,'Aggregated Median CA data'!$D$126:$M$140,5,0)*$B101</f>
        <v>0</v>
      </c>
      <c r="F101" s="17">
        <f>VLOOKUP(F$100,'Aggregated Median CA data'!$D$126:$M$140,5,0)*$B101</f>
        <v>0</v>
      </c>
      <c r="G101" s="17">
        <f>VLOOKUP(G$100,'Aggregated Median CA data'!$D$126:$M$140,5,0)*$B101</f>
        <v>0</v>
      </c>
      <c r="H101" s="17">
        <f>VLOOKUP(H$100,'Aggregated Median CA data'!$D$126:$M$140,5,0)*$B101</f>
        <v>0</v>
      </c>
      <c r="I101" s="17">
        <f>VLOOKUP(I$100,'Aggregated Median CA data'!$D$126:$M$140,5,0)*$B101</f>
        <v>0</v>
      </c>
      <c r="J101" s="17">
        <f>VLOOKUP(J$100,'Aggregated Median CA data'!$D$126:$M$140,5,0)*$B101</f>
        <v>0</v>
      </c>
      <c r="K101" s="17">
        <f>VLOOKUP(K$100,'Aggregated Median CA data'!$D$126:$M$140,5,0)*$B101</f>
        <v>0</v>
      </c>
      <c r="L101" s="17">
        <f>VLOOKUP(L$100,'Aggregated Median CA data'!$D$126:$M$140,5,0)*$B101</f>
        <v>0</v>
      </c>
      <c r="M101" s="17">
        <f>VLOOKUP(M$100,'Aggregated Median CA data'!$D$126:$M$140,5,0)*$B101</f>
        <v>0</v>
      </c>
      <c r="N101" s="17">
        <f>VLOOKUP(N$100,'Aggregated Median CA data'!$D$126:$M$140,5,0)*$B101</f>
        <v>0</v>
      </c>
      <c r="O101" s="17">
        <f>VLOOKUP(O$100,'Aggregated Median CA data'!$D$126:$M$140,5,0)*$B101</f>
        <v>0</v>
      </c>
      <c r="P101" s="17">
        <f>VLOOKUP(P$100,'Aggregated Median CA data'!$D$126:$M$140,5,0)*$B101</f>
        <v>0</v>
      </c>
      <c r="Q101" s="17">
        <f>VLOOKUP(Q$100,'Aggregated Median CA data'!$D$126:$M$140,5,0)*$B101</f>
        <v>0</v>
      </c>
      <c r="R101" s="17">
        <f>VLOOKUP(R$100,'Aggregated Median CA data'!$D$126:$M$140,5,0)*$B101</f>
        <v>0</v>
      </c>
    </row>
    <row r="102" spans="1:18">
      <c r="A102" s="18">
        <f>A101+1</f>
        <v>2026</v>
      </c>
      <c r="B102" s="23"/>
      <c r="C102" s="46">
        <f t="shared" si="23"/>
        <v>0</v>
      </c>
      <c r="E102" s="17">
        <f t="shared" ref="E102:R110" si="24">IF($B102=0,0,(D101/$B101)*$B102)</f>
        <v>0</v>
      </c>
      <c r="F102" s="17">
        <f t="shared" si="24"/>
        <v>0</v>
      </c>
      <c r="G102" s="17">
        <f t="shared" si="24"/>
        <v>0</v>
      </c>
      <c r="H102" s="17">
        <f t="shared" si="24"/>
        <v>0</v>
      </c>
      <c r="I102" s="17">
        <f t="shared" si="24"/>
        <v>0</v>
      </c>
      <c r="J102" s="17">
        <f t="shared" si="24"/>
        <v>0</v>
      </c>
      <c r="K102" s="17">
        <f t="shared" si="24"/>
        <v>0</v>
      </c>
      <c r="L102" s="17">
        <f t="shared" si="24"/>
        <v>0</v>
      </c>
      <c r="M102" s="17">
        <f t="shared" si="24"/>
        <v>0</v>
      </c>
      <c r="N102" s="17">
        <f t="shared" si="24"/>
        <v>0</v>
      </c>
      <c r="O102" s="17">
        <f t="shared" si="24"/>
        <v>0</v>
      </c>
      <c r="P102" s="17">
        <f t="shared" si="24"/>
        <v>0</v>
      </c>
      <c r="Q102" s="17">
        <f t="shared" si="24"/>
        <v>0</v>
      </c>
      <c r="R102" s="17">
        <f t="shared" si="24"/>
        <v>0</v>
      </c>
    </row>
    <row r="103" spans="1:18">
      <c r="A103" s="18">
        <f t="shared" ref="A103:A115" si="25">A102+1</f>
        <v>2027</v>
      </c>
      <c r="B103" s="23"/>
      <c r="C103" s="46">
        <f t="shared" si="23"/>
        <v>0</v>
      </c>
      <c r="F103" s="17">
        <f t="shared" si="24"/>
        <v>0</v>
      </c>
      <c r="G103" s="17">
        <f t="shared" si="24"/>
        <v>0</v>
      </c>
      <c r="H103" s="17">
        <f t="shared" si="24"/>
        <v>0</v>
      </c>
      <c r="I103" s="17">
        <f t="shared" si="24"/>
        <v>0</v>
      </c>
      <c r="J103" s="17">
        <f t="shared" si="24"/>
        <v>0</v>
      </c>
      <c r="K103" s="17">
        <f t="shared" si="24"/>
        <v>0</v>
      </c>
      <c r="L103" s="17">
        <f t="shared" si="24"/>
        <v>0</v>
      </c>
      <c r="M103" s="17">
        <f t="shared" si="24"/>
        <v>0</v>
      </c>
      <c r="N103" s="17">
        <f t="shared" si="24"/>
        <v>0</v>
      </c>
      <c r="O103" s="17">
        <f t="shared" si="24"/>
        <v>0</v>
      </c>
      <c r="P103" s="17">
        <f t="shared" si="24"/>
        <v>0</v>
      </c>
      <c r="Q103" s="17">
        <f t="shared" si="24"/>
        <v>0</v>
      </c>
      <c r="R103" s="17">
        <f t="shared" si="24"/>
        <v>0</v>
      </c>
    </row>
    <row r="104" spans="1:18">
      <c r="A104" s="18">
        <f t="shared" si="25"/>
        <v>2028</v>
      </c>
      <c r="B104" s="23"/>
      <c r="C104" s="46">
        <f t="shared" si="23"/>
        <v>0</v>
      </c>
      <c r="G104" s="17">
        <f t="shared" si="24"/>
        <v>0</v>
      </c>
      <c r="H104" s="17">
        <f t="shared" si="24"/>
        <v>0</v>
      </c>
      <c r="I104" s="17">
        <f t="shared" si="24"/>
        <v>0</v>
      </c>
      <c r="J104" s="17">
        <f t="shared" si="24"/>
        <v>0</v>
      </c>
      <c r="K104" s="17">
        <f t="shared" si="24"/>
        <v>0</v>
      </c>
      <c r="L104" s="17">
        <f t="shared" si="24"/>
        <v>0</v>
      </c>
      <c r="M104" s="17">
        <f t="shared" si="24"/>
        <v>0</v>
      </c>
      <c r="N104" s="17">
        <f t="shared" si="24"/>
        <v>0</v>
      </c>
      <c r="O104" s="17">
        <f t="shared" si="24"/>
        <v>0</v>
      </c>
      <c r="P104" s="17">
        <f t="shared" si="24"/>
        <v>0</v>
      </c>
      <c r="Q104" s="17">
        <f t="shared" si="24"/>
        <v>0</v>
      </c>
      <c r="R104" s="17">
        <f t="shared" si="24"/>
        <v>0</v>
      </c>
    </row>
    <row r="105" spans="1:18">
      <c r="A105" s="18">
        <f t="shared" si="25"/>
        <v>2029</v>
      </c>
      <c r="B105" s="23"/>
      <c r="C105" s="46">
        <f t="shared" si="23"/>
        <v>0</v>
      </c>
      <c r="H105" s="17">
        <f t="shared" si="24"/>
        <v>0</v>
      </c>
      <c r="I105" s="17">
        <f t="shared" si="24"/>
        <v>0</v>
      </c>
      <c r="J105" s="17">
        <f t="shared" si="24"/>
        <v>0</v>
      </c>
      <c r="K105" s="17">
        <f t="shared" si="24"/>
        <v>0</v>
      </c>
      <c r="L105" s="17">
        <f t="shared" si="24"/>
        <v>0</v>
      </c>
      <c r="M105" s="17">
        <f t="shared" si="24"/>
        <v>0</v>
      </c>
      <c r="N105" s="17">
        <f t="shared" si="24"/>
        <v>0</v>
      </c>
      <c r="O105" s="17">
        <f t="shared" si="24"/>
        <v>0</v>
      </c>
      <c r="P105" s="17">
        <f t="shared" si="24"/>
        <v>0</v>
      </c>
      <c r="Q105" s="17">
        <f t="shared" si="24"/>
        <v>0</v>
      </c>
      <c r="R105" s="17">
        <f t="shared" si="24"/>
        <v>0</v>
      </c>
    </row>
    <row r="106" spans="1:18">
      <c r="A106" s="18">
        <f t="shared" si="25"/>
        <v>2030</v>
      </c>
      <c r="B106" s="23"/>
      <c r="C106" s="46">
        <f t="shared" si="23"/>
        <v>0</v>
      </c>
      <c r="I106" s="17">
        <f t="shared" si="24"/>
        <v>0</v>
      </c>
      <c r="J106" s="17">
        <f t="shared" si="24"/>
        <v>0</v>
      </c>
      <c r="K106" s="17">
        <f t="shared" si="24"/>
        <v>0</v>
      </c>
      <c r="L106" s="17">
        <f t="shared" si="24"/>
        <v>0</v>
      </c>
      <c r="M106" s="17">
        <f t="shared" si="24"/>
        <v>0</v>
      </c>
      <c r="N106" s="17">
        <f t="shared" si="24"/>
        <v>0</v>
      </c>
      <c r="O106" s="17">
        <f t="shared" si="24"/>
        <v>0</v>
      </c>
      <c r="P106" s="17">
        <f t="shared" si="24"/>
        <v>0</v>
      </c>
      <c r="Q106" s="17">
        <f t="shared" si="24"/>
        <v>0</v>
      </c>
      <c r="R106" s="17">
        <f t="shared" si="24"/>
        <v>0</v>
      </c>
    </row>
    <row r="107" spans="1:18">
      <c r="A107" s="18">
        <f t="shared" si="25"/>
        <v>2031</v>
      </c>
      <c r="B107" s="23"/>
      <c r="C107" s="46">
        <f t="shared" si="23"/>
        <v>0</v>
      </c>
      <c r="J107" s="17">
        <f t="shared" si="24"/>
        <v>0</v>
      </c>
      <c r="K107" s="17">
        <f t="shared" si="24"/>
        <v>0</v>
      </c>
      <c r="L107" s="17">
        <f t="shared" si="24"/>
        <v>0</v>
      </c>
      <c r="M107" s="17">
        <f t="shared" si="24"/>
        <v>0</v>
      </c>
      <c r="N107" s="17">
        <f t="shared" si="24"/>
        <v>0</v>
      </c>
      <c r="O107" s="17">
        <f t="shared" si="24"/>
        <v>0</v>
      </c>
      <c r="P107" s="17">
        <f t="shared" si="24"/>
        <v>0</v>
      </c>
      <c r="Q107" s="17">
        <f t="shared" si="24"/>
        <v>0</v>
      </c>
      <c r="R107" s="17">
        <f t="shared" si="24"/>
        <v>0</v>
      </c>
    </row>
    <row r="108" spans="1:18">
      <c r="A108" s="18">
        <f t="shared" si="25"/>
        <v>2032</v>
      </c>
      <c r="B108" s="23"/>
      <c r="C108" s="46">
        <f t="shared" si="23"/>
        <v>0</v>
      </c>
      <c r="K108" s="17">
        <f t="shared" si="24"/>
        <v>0</v>
      </c>
      <c r="L108" s="17">
        <f t="shared" si="24"/>
        <v>0</v>
      </c>
      <c r="M108" s="17">
        <f t="shared" si="24"/>
        <v>0</v>
      </c>
      <c r="N108" s="17">
        <f t="shared" si="24"/>
        <v>0</v>
      </c>
      <c r="O108" s="17">
        <f t="shared" si="24"/>
        <v>0</v>
      </c>
      <c r="P108" s="17">
        <f t="shared" si="24"/>
        <v>0</v>
      </c>
      <c r="Q108" s="17">
        <f t="shared" si="24"/>
        <v>0</v>
      </c>
      <c r="R108" s="17">
        <f t="shared" si="24"/>
        <v>0</v>
      </c>
    </row>
    <row r="109" spans="1:18">
      <c r="A109" s="18">
        <f t="shared" si="25"/>
        <v>2033</v>
      </c>
      <c r="B109" s="23"/>
      <c r="C109" s="46">
        <f t="shared" si="23"/>
        <v>0</v>
      </c>
      <c r="L109" s="17">
        <f t="shared" si="24"/>
        <v>0</v>
      </c>
      <c r="M109" s="17">
        <f t="shared" si="24"/>
        <v>0</v>
      </c>
      <c r="N109" s="17">
        <f t="shared" si="24"/>
        <v>0</v>
      </c>
      <c r="O109" s="17">
        <f t="shared" si="24"/>
        <v>0</v>
      </c>
      <c r="P109" s="17">
        <f t="shared" si="24"/>
        <v>0</v>
      </c>
      <c r="Q109" s="17">
        <f t="shared" si="24"/>
        <v>0</v>
      </c>
      <c r="R109" s="17">
        <f t="shared" si="24"/>
        <v>0</v>
      </c>
    </row>
    <row r="110" spans="1:18">
      <c r="A110" s="18">
        <f t="shared" si="25"/>
        <v>2034</v>
      </c>
      <c r="B110" s="23"/>
      <c r="C110" s="46">
        <f t="shared" si="23"/>
        <v>0</v>
      </c>
      <c r="M110" s="17">
        <f>IF($B110=0,0,(L109/$B109)*$B110)</f>
        <v>0</v>
      </c>
      <c r="N110" s="17">
        <f t="shared" si="24"/>
        <v>0</v>
      </c>
      <c r="O110" s="17">
        <f t="shared" si="24"/>
        <v>0</v>
      </c>
      <c r="P110" s="17">
        <f t="shared" si="24"/>
        <v>0</v>
      </c>
      <c r="Q110" s="17">
        <f t="shared" si="24"/>
        <v>0</v>
      </c>
      <c r="R110" s="17">
        <f t="shared" si="24"/>
        <v>0</v>
      </c>
    </row>
    <row r="111" spans="1:18">
      <c r="A111" s="18">
        <f t="shared" si="25"/>
        <v>2035</v>
      </c>
      <c r="B111" s="23"/>
      <c r="C111" s="46">
        <f t="shared" si="23"/>
        <v>0</v>
      </c>
      <c r="N111" s="17">
        <f>IF($B111=0,0,(M110/$B110)*$B111)</f>
        <v>0</v>
      </c>
      <c r="O111" s="17">
        <f>IF($B111=0,0,(N110/$B110)*$B111)</f>
        <v>0</v>
      </c>
      <c r="P111" s="17">
        <f>IF($B111=0,0,(O110/$B110)*$B111)</f>
        <v>0</v>
      </c>
      <c r="Q111" s="17">
        <f>IF($B111=0,0,(P110/$B110)*$B111)</f>
        <v>0</v>
      </c>
      <c r="R111" s="17">
        <f>IF($B111=0,0,(Q110/$B110)*$B111)</f>
        <v>0</v>
      </c>
    </row>
    <row r="112" spans="1:18">
      <c r="A112" s="18">
        <f t="shared" si="25"/>
        <v>2036</v>
      </c>
      <c r="B112" s="23"/>
      <c r="C112" s="46">
        <f t="shared" si="23"/>
        <v>0</v>
      </c>
      <c r="O112" s="17">
        <f>IF($B112=0,0,(N111/$B111)*$B112)</f>
        <v>0</v>
      </c>
      <c r="P112" s="17">
        <f>IF($B112=0,0,(O111/$B111)*$B112)</f>
        <v>0</v>
      </c>
      <c r="Q112" s="17">
        <f>IF($B112=0,0,(P111/$B111)*$B112)</f>
        <v>0</v>
      </c>
      <c r="R112" s="17">
        <f>IF($B112=0,0,(Q111/$B111)*$B112)</f>
        <v>0</v>
      </c>
    </row>
    <row r="113" spans="1:18">
      <c r="A113" s="18">
        <f t="shared" si="25"/>
        <v>2037</v>
      </c>
      <c r="B113" s="23"/>
      <c r="C113" s="46">
        <f t="shared" si="23"/>
        <v>0</v>
      </c>
      <c r="P113" s="17">
        <f>IF($B113=0,0,(O112/$B112)*$B113)</f>
        <v>0</v>
      </c>
      <c r="Q113" s="17">
        <f>IF($B113=0,0,(P112/$B112)*$B113)</f>
        <v>0</v>
      </c>
      <c r="R113" s="17">
        <f>IF($B113=0,0,(Q112/$B112)*$B113)</f>
        <v>0</v>
      </c>
    </row>
    <row r="114" spans="1:18">
      <c r="A114" s="18">
        <f t="shared" si="25"/>
        <v>2038</v>
      </c>
      <c r="B114" s="23"/>
      <c r="C114" s="46">
        <f t="shared" si="23"/>
        <v>0</v>
      </c>
      <c r="Q114" s="17">
        <f>IF($B114=0,0,(P113/$B113)*$B114)</f>
        <v>0</v>
      </c>
      <c r="R114" s="17">
        <f>IF($B114=0,0,(Q113/$B113)*$B114)</f>
        <v>0</v>
      </c>
    </row>
    <row r="115" spans="1:18">
      <c r="A115" s="18">
        <f t="shared" si="25"/>
        <v>2039</v>
      </c>
      <c r="B115" s="23"/>
      <c r="C115" s="46">
        <f t="shared" si="23"/>
        <v>0</v>
      </c>
      <c r="R115" s="17">
        <f>IF($B115=0,0,(Q114/$B114)*$B115)</f>
        <v>0</v>
      </c>
    </row>
    <row r="116" spans="1:18">
      <c r="R116" s="17"/>
    </row>
    <row r="117" spans="1:18">
      <c r="A117" s="21" t="s">
        <v>33</v>
      </c>
      <c r="C117" s="20"/>
      <c r="D117" s="20">
        <f>SUM(D101:D115)</f>
        <v>0</v>
      </c>
      <c r="E117" s="20">
        <f t="shared" ref="E117:R117" si="26">SUM(E101:E115)</f>
        <v>0</v>
      </c>
      <c r="F117" s="20">
        <f t="shared" si="26"/>
        <v>0</v>
      </c>
      <c r="G117" s="20">
        <f t="shared" si="26"/>
        <v>0</v>
      </c>
      <c r="H117" s="20">
        <f t="shared" si="26"/>
        <v>0</v>
      </c>
      <c r="I117" s="20">
        <f t="shared" si="26"/>
        <v>0</v>
      </c>
      <c r="J117" s="20">
        <f t="shared" si="26"/>
        <v>0</v>
      </c>
      <c r="K117" s="20">
        <f t="shared" si="26"/>
        <v>0</v>
      </c>
      <c r="L117" s="20">
        <f t="shared" si="26"/>
        <v>0</v>
      </c>
      <c r="M117" s="20">
        <f t="shared" si="26"/>
        <v>0</v>
      </c>
      <c r="N117" s="20">
        <f t="shared" si="26"/>
        <v>0</v>
      </c>
      <c r="O117" s="20">
        <f t="shared" si="26"/>
        <v>0</v>
      </c>
      <c r="P117" s="20">
        <f t="shared" si="26"/>
        <v>0</v>
      </c>
      <c r="Q117" s="20">
        <f t="shared" si="26"/>
        <v>0</v>
      </c>
      <c r="R117" s="20">
        <f t="shared" si="26"/>
        <v>0</v>
      </c>
    </row>
    <row r="118" spans="1:18">
      <c r="R118" s="17"/>
    </row>
    <row r="119" spans="1:18">
      <c r="A119" s="21" t="s">
        <v>306</v>
      </c>
      <c r="C119" s="20"/>
      <c r="D119" s="20">
        <f>SUM(D117,D78,D54,D30)</f>
        <v>10939000.000000002</v>
      </c>
      <c r="E119" s="20">
        <f t="shared" ref="E119:R119" si="27">SUM(E117,E78,E54,E30)</f>
        <v>11966172.100000003</v>
      </c>
      <c r="F119" s="20">
        <f t="shared" si="27"/>
        <v>13089795.660190005</v>
      </c>
      <c r="G119" s="20">
        <f t="shared" si="27"/>
        <v>14318927.472681848</v>
      </c>
      <c r="H119" s="20">
        <f t="shared" si="27"/>
        <v>15663474.762366675</v>
      </c>
      <c r="I119" s="20">
        <f t="shared" si="27"/>
        <v>17134275.042552907</v>
      </c>
      <c r="J119" s="20">
        <f t="shared" si="27"/>
        <v>18743183.469048627</v>
      </c>
      <c r="K119" s="20">
        <f t="shared" si="27"/>
        <v>20503168.396792296</v>
      </c>
      <c r="L119" s="20">
        <f t="shared" si="27"/>
        <v>22428415.909251094</v>
      </c>
      <c r="M119" s="20">
        <f t="shared" si="27"/>
        <v>24534444.163129773</v>
      </c>
      <c r="N119" s="20">
        <f t="shared" si="27"/>
        <v>26838228.47004766</v>
      </c>
      <c r="O119" s="20">
        <f t="shared" si="27"/>
        <v>29358338.123385139</v>
      </c>
      <c r="P119" s="20">
        <f t="shared" si="27"/>
        <v>32115086.073171005</v>
      </c>
      <c r="Q119" s="20">
        <f t="shared" si="27"/>
        <v>35130692.655441768</v>
      </c>
      <c r="R119" s="20">
        <f t="shared" si="27"/>
        <v>38429464.69578775</v>
      </c>
    </row>
    <row r="120" spans="1:18">
      <c r="R120" s="17"/>
    </row>
    <row r="121" spans="1:18">
      <c r="A121" s="33" t="s">
        <v>34</v>
      </c>
      <c r="B121" s="32"/>
      <c r="C121" s="24"/>
      <c r="D121" s="24">
        <f>$D$4</f>
        <v>10000000</v>
      </c>
      <c r="E121" s="24">
        <f>$D$5</f>
        <v>10640000</v>
      </c>
      <c r="F121" s="24">
        <f>$D$6</f>
        <v>11320960</v>
      </c>
      <c r="G121" s="24">
        <f>$D$7</f>
        <v>12045501.440000001</v>
      </c>
      <c r="H121" s="24">
        <f>$D$8</f>
        <v>12816413.532160003</v>
      </c>
      <c r="I121" s="24">
        <f>$D$9</f>
        <v>13636663.998218244</v>
      </c>
      <c r="J121" s="24">
        <f>$D$10</f>
        <v>14509410.494104212</v>
      </c>
      <c r="K121" s="24">
        <f>$D$11</f>
        <v>15438012.765726883</v>
      </c>
      <c r="L121" s="24">
        <f>$D$12</f>
        <v>16426045.582733404</v>
      </c>
      <c r="M121" s="24">
        <f>$D$13</f>
        <v>17477312.500028342</v>
      </c>
      <c r="N121" s="24">
        <f>$D$14</f>
        <v>18595860.500030156</v>
      </c>
      <c r="O121" s="24">
        <f>$D$15</f>
        <v>19785995.572032087</v>
      </c>
      <c r="P121" s="24">
        <f>$D$16</f>
        <v>21052299.288642142</v>
      </c>
      <c r="Q121" s="24">
        <f>$D$17</f>
        <v>22399646.443115242</v>
      </c>
      <c r="R121" s="24">
        <f>$D$18</f>
        <v>23833223.815474618</v>
      </c>
    </row>
    <row r="122" spans="1:18">
      <c r="A122" s="37" t="s">
        <v>35</v>
      </c>
      <c r="B122" s="32"/>
      <c r="C122" s="34"/>
      <c r="D122" s="34">
        <f>D119/D121</f>
        <v>1.0939000000000001</v>
      </c>
      <c r="E122" s="34">
        <f t="shared" ref="E122:R122" si="28">E119/E121</f>
        <v>1.1246402349624063</v>
      </c>
      <c r="F122" s="34">
        <f t="shared" si="28"/>
        <v>1.1562443167531733</v>
      </c>
      <c r="G122" s="34">
        <f t="shared" si="28"/>
        <v>1.1887365207671958</v>
      </c>
      <c r="H122" s="34">
        <f t="shared" si="28"/>
        <v>1.2221418045744694</v>
      </c>
      <c r="I122" s="34">
        <f t="shared" si="28"/>
        <v>1.2564858270902368</v>
      </c>
      <c r="J122" s="34">
        <f t="shared" si="28"/>
        <v>1.2917949682838441</v>
      </c>
      <c r="K122" s="34">
        <f t="shared" si="28"/>
        <v>1.3280963494414448</v>
      </c>
      <c r="L122" s="34">
        <f t="shared" si="28"/>
        <v>1.365417853998117</v>
      </c>
      <c r="M122" s="34">
        <f t="shared" si="28"/>
        <v>1.4037881489553949</v>
      </c>
      <c r="N122" s="34">
        <f t="shared" si="28"/>
        <v>1.4432367069006642</v>
      </c>
      <c r="O122" s="34">
        <f t="shared" si="28"/>
        <v>1.4837938286453352</v>
      </c>
      <c r="P122" s="34">
        <f t="shared" si="28"/>
        <v>1.5254906664991843</v>
      </c>
      <c r="Q122" s="34">
        <f t="shared" si="28"/>
        <v>1.5683592481987385</v>
      </c>
      <c r="R122" s="34">
        <f t="shared" si="28"/>
        <v>1.6124325015080827</v>
      </c>
    </row>
    <row r="123" spans="1:18">
      <c r="C123" s="65" t="s">
        <v>47</v>
      </c>
      <c r="D123" s="66">
        <f>D121/1000000</f>
        <v>10</v>
      </c>
      <c r="E123" s="67">
        <f t="shared" ref="E123:R123" si="29">E121/1000000</f>
        <v>10.64</v>
      </c>
      <c r="F123" s="67">
        <f t="shared" si="29"/>
        <v>11.320959999999999</v>
      </c>
      <c r="G123" s="67">
        <f t="shared" si="29"/>
        <v>12.045501440000001</v>
      </c>
      <c r="H123" s="67">
        <f t="shared" si="29"/>
        <v>12.816413532160002</v>
      </c>
      <c r="I123" s="67">
        <f t="shared" si="29"/>
        <v>13.636663998218244</v>
      </c>
      <c r="J123" s="67">
        <f t="shared" si="29"/>
        <v>14.509410494104213</v>
      </c>
      <c r="K123" s="67">
        <f t="shared" si="29"/>
        <v>15.438012765726883</v>
      </c>
      <c r="L123" s="67">
        <f t="shared" si="29"/>
        <v>16.426045582733405</v>
      </c>
      <c r="M123" s="67">
        <f t="shared" si="29"/>
        <v>17.477312500028344</v>
      </c>
      <c r="N123" s="67">
        <f t="shared" si="29"/>
        <v>18.595860500030156</v>
      </c>
      <c r="O123" s="67">
        <f t="shared" si="29"/>
        <v>19.785995572032085</v>
      </c>
      <c r="P123" s="67">
        <f t="shared" si="29"/>
        <v>21.052299288642143</v>
      </c>
      <c r="Q123" s="67">
        <f t="shared" si="29"/>
        <v>22.399646443115241</v>
      </c>
      <c r="R123" s="67">
        <f t="shared" si="29"/>
        <v>23.833223815474618</v>
      </c>
    </row>
    <row r="124" spans="1:18">
      <c r="C124" s="65" t="s">
        <v>48</v>
      </c>
      <c r="D124" s="66">
        <f>$B$101/1000000</f>
        <v>0</v>
      </c>
      <c r="E124" s="67">
        <f>$B$102/1000000</f>
        <v>0</v>
      </c>
      <c r="F124" s="67">
        <f>$B$103/1000000</f>
        <v>0</v>
      </c>
      <c r="G124" s="67">
        <f>$B$104/1000000</f>
        <v>0</v>
      </c>
      <c r="H124" s="67">
        <f>$B$105/1000000</f>
        <v>0</v>
      </c>
      <c r="I124" s="68">
        <f>$B$106/1000000</f>
        <v>0</v>
      </c>
      <c r="J124" s="68">
        <f>$B$107/1000000</f>
        <v>0</v>
      </c>
      <c r="K124" s="68">
        <f>$B$108/1000000</f>
        <v>0</v>
      </c>
      <c r="L124" s="68">
        <f>$B$109/1000000</f>
        <v>0</v>
      </c>
      <c r="M124" s="68">
        <f>$B$110/1000000</f>
        <v>0</v>
      </c>
      <c r="N124" s="67">
        <f>$B$111/1000000</f>
        <v>0</v>
      </c>
      <c r="O124" s="67">
        <f>$B$112/1000000</f>
        <v>0</v>
      </c>
      <c r="P124" s="67">
        <f>$B$113/1000000</f>
        <v>0</v>
      </c>
      <c r="Q124" s="67">
        <f>$B$114/1000000</f>
        <v>0</v>
      </c>
      <c r="R124" s="67">
        <f>$B$115/1000000</f>
        <v>0</v>
      </c>
    </row>
    <row r="125" spans="1:18">
      <c r="C125" s="65" t="s">
        <v>63</v>
      </c>
      <c r="D125" s="66">
        <f>D119/1000000</f>
        <v>10.939000000000002</v>
      </c>
      <c r="E125" s="66">
        <f t="shared" ref="E125:R125" si="30">E119/1000000</f>
        <v>11.966172100000003</v>
      </c>
      <c r="F125" s="66">
        <f t="shared" si="30"/>
        <v>13.089795660190005</v>
      </c>
      <c r="G125" s="66">
        <f t="shared" si="30"/>
        <v>14.318927472681848</v>
      </c>
      <c r="H125" s="66">
        <f t="shared" si="30"/>
        <v>15.663474762366675</v>
      </c>
      <c r="I125" s="66">
        <f t="shared" si="30"/>
        <v>17.134275042552908</v>
      </c>
      <c r="J125" s="66">
        <f t="shared" si="30"/>
        <v>18.743183469048628</v>
      </c>
      <c r="K125" s="66">
        <f t="shared" si="30"/>
        <v>20.503168396792297</v>
      </c>
      <c r="L125" s="66">
        <f t="shared" si="30"/>
        <v>22.428415909251093</v>
      </c>
      <c r="M125" s="66">
        <f t="shared" si="30"/>
        <v>24.534444163129773</v>
      </c>
      <c r="N125" s="66">
        <f t="shared" si="30"/>
        <v>26.83822847004766</v>
      </c>
      <c r="O125" s="66">
        <f t="shared" si="30"/>
        <v>29.358338123385138</v>
      </c>
      <c r="P125" s="66">
        <f t="shared" si="30"/>
        <v>32.115086073171007</v>
      </c>
      <c r="Q125" s="66">
        <f t="shared" si="30"/>
        <v>35.13069265544177</v>
      </c>
      <c r="R125" s="66">
        <f t="shared" si="30"/>
        <v>38.42946469578775</v>
      </c>
    </row>
    <row r="126" spans="1:18">
      <c r="C126" s="39"/>
      <c r="D126" s="39" t="s">
        <v>38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15" t="s">
        <v>30</v>
      </c>
      <c r="B127" s="16" t="s">
        <v>0</v>
      </c>
      <c r="C127" s="15"/>
      <c r="D127" s="15">
        <f t="shared" ref="D127:R127" si="31">D$100</f>
        <v>2025</v>
      </c>
      <c r="E127" s="15">
        <f t="shared" si="31"/>
        <v>2026</v>
      </c>
      <c r="F127" s="15">
        <f t="shared" si="31"/>
        <v>2027</v>
      </c>
      <c r="G127" s="15">
        <f t="shared" si="31"/>
        <v>2028</v>
      </c>
      <c r="H127" s="15">
        <f t="shared" si="31"/>
        <v>2029</v>
      </c>
      <c r="I127" s="15">
        <f t="shared" si="31"/>
        <v>2030</v>
      </c>
      <c r="J127" s="15">
        <f t="shared" si="31"/>
        <v>2031</v>
      </c>
      <c r="K127" s="15">
        <f t="shared" si="31"/>
        <v>2032</v>
      </c>
      <c r="L127" s="15">
        <f t="shared" si="31"/>
        <v>2033</v>
      </c>
      <c r="M127" s="15">
        <f t="shared" si="31"/>
        <v>2034</v>
      </c>
      <c r="N127" s="15">
        <f t="shared" si="31"/>
        <v>2035</v>
      </c>
      <c r="O127" s="15">
        <f t="shared" si="31"/>
        <v>2036</v>
      </c>
      <c r="P127" s="15">
        <f t="shared" si="31"/>
        <v>2037</v>
      </c>
      <c r="Q127" s="15">
        <f t="shared" si="31"/>
        <v>2038</v>
      </c>
      <c r="R127" s="15">
        <f t="shared" si="31"/>
        <v>2039</v>
      </c>
    </row>
    <row r="128" spans="1:18">
      <c r="A128" s="18">
        <f>A101</f>
        <v>2025</v>
      </c>
      <c r="B128" s="24">
        <f t="shared" ref="B128:B142" si="32">B101</f>
        <v>0</v>
      </c>
      <c r="D128" s="17">
        <f>VLOOKUP(D$100,'Aggregated Median CA data'!$D$126:$M$140,7,0)*$B128</f>
        <v>0</v>
      </c>
      <c r="E128" s="17">
        <f>VLOOKUP(E$100,'Aggregated Median CA data'!$D$126:$M$140,7,0)*$B128</f>
        <v>0</v>
      </c>
      <c r="F128" s="17">
        <f>VLOOKUP(F$100,'Aggregated Median CA data'!$D$126:$M$140,7,0)*$B128</f>
        <v>0</v>
      </c>
      <c r="G128" s="17">
        <f>VLOOKUP(G$100,'Aggregated Median CA data'!$D$126:$M$140,7,0)*$B128</f>
        <v>0</v>
      </c>
      <c r="H128" s="17">
        <f>VLOOKUP(H$100,'Aggregated Median CA data'!$D$126:$M$140,7,0)*$B128</f>
        <v>0</v>
      </c>
      <c r="I128" s="17">
        <f>VLOOKUP(I$100,'Aggregated Median CA data'!$D$126:$M$140,7,0)*$B128</f>
        <v>0</v>
      </c>
      <c r="J128" s="17">
        <f>VLOOKUP(J$100,'Aggregated Median CA data'!$D$126:$M$140,7,0)*$B128</f>
        <v>0</v>
      </c>
      <c r="K128" s="17">
        <f>VLOOKUP(K$100,'Aggregated Median CA data'!$D$126:$M$140,7,0)*$B128</f>
        <v>0</v>
      </c>
      <c r="L128" s="17">
        <f>VLOOKUP(L$100,'Aggregated Median CA data'!$D$126:$M$140,7,0)*$B128</f>
        <v>0</v>
      </c>
      <c r="M128" s="17">
        <f>VLOOKUP(M$100,'Aggregated Median CA data'!$D$126:$M$140,7,0)*$B128</f>
        <v>0</v>
      </c>
      <c r="N128" s="17">
        <f>VLOOKUP(N$100,'Aggregated Median CA data'!$D$126:$M$140,7,0)*$B128</f>
        <v>0</v>
      </c>
      <c r="O128" s="17">
        <f>VLOOKUP(O$100,'Aggregated Median CA data'!$D$126:$M$140,7,0)*$B128</f>
        <v>0</v>
      </c>
      <c r="P128" s="17">
        <f>VLOOKUP(P$100,'Aggregated Median CA data'!$D$126:$M$140,7,0)*$B128</f>
        <v>0</v>
      </c>
      <c r="Q128" s="17">
        <f>VLOOKUP(Q$100,'Aggregated Median CA data'!$D$126:$M$140,7,0)*$B128</f>
        <v>0</v>
      </c>
      <c r="R128" s="17">
        <f>VLOOKUP(R$100,'Aggregated Median CA data'!$D$126:$M$140,7,0)*$B128</f>
        <v>0</v>
      </c>
    </row>
    <row r="129" spans="1:18">
      <c r="A129" s="18">
        <f t="shared" ref="A129:A142" si="33">A102</f>
        <v>2026</v>
      </c>
      <c r="B129" s="24">
        <f t="shared" si="32"/>
        <v>0</v>
      </c>
      <c r="C129" s="22"/>
      <c r="E129" s="17">
        <f>IFERROR((D128/$B128)*$B129,0)</f>
        <v>0</v>
      </c>
      <c r="F129" s="17">
        <f t="shared" ref="F129:R141" si="34">IFERROR((E128/$B128)*$B129,0)</f>
        <v>0</v>
      </c>
      <c r="G129" s="17">
        <f t="shared" si="34"/>
        <v>0</v>
      </c>
      <c r="H129" s="17">
        <f t="shared" si="34"/>
        <v>0</v>
      </c>
      <c r="I129" s="17">
        <f t="shared" si="34"/>
        <v>0</v>
      </c>
      <c r="J129" s="17">
        <f t="shared" si="34"/>
        <v>0</v>
      </c>
      <c r="K129" s="17">
        <f t="shared" si="34"/>
        <v>0</v>
      </c>
      <c r="L129" s="17">
        <f t="shared" si="34"/>
        <v>0</v>
      </c>
      <c r="M129" s="17">
        <f t="shared" si="34"/>
        <v>0</v>
      </c>
      <c r="N129" s="17">
        <f t="shared" si="34"/>
        <v>0</v>
      </c>
      <c r="O129" s="17">
        <f t="shared" si="34"/>
        <v>0</v>
      </c>
      <c r="P129" s="17">
        <f t="shared" si="34"/>
        <v>0</v>
      </c>
      <c r="Q129" s="17">
        <f t="shared" si="34"/>
        <v>0</v>
      </c>
      <c r="R129" s="17">
        <f t="shared" si="34"/>
        <v>0</v>
      </c>
    </row>
    <row r="130" spans="1:18">
      <c r="A130" s="18">
        <f t="shared" si="33"/>
        <v>2027</v>
      </c>
      <c r="B130" s="24">
        <f t="shared" si="32"/>
        <v>0</v>
      </c>
      <c r="C130" s="22"/>
      <c r="F130" s="17">
        <f>IFERROR((E129/$B129)*$B130,0)</f>
        <v>0</v>
      </c>
      <c r="G130" s="17">
        <f t="shared" si="34"/>
        <v>0</v>
      </c>
      <c r="H130" s="17">
        <f t="shared" si="34"/>
        <v>0</v>
      </c>
      <c r="I130" s="17">
        <f t="shared" si="34"/>
        <v>0</v>
      </c>
      <c r="J130" s="17">
        <f t="shared" si="34"/>
        <v>0</v>
      </c>
      <c r="K130" s="17">
        <f t="shared" si="34"/>
        <v>0</v>
      </c>
      <c r="L130" s="17">
        <f t="shared" si="34"/>
        <v>0</v>
      </c>
      <c r="M130" s="17">
        <f t="shared" si="34"/>
        <v>0</v>
      </c>
      <c r="N130" s="17">
        <f t="shared" si="34"/>
        <v>0</v>
      </c>
      <c r="O130" s="17">
        <f t="shared" si="34"/>
        <v>0</v>
      </c>
      <c r="P130" s="17">
        <f t="shared" si="34"/>
        <v>0</v>
      </c>
      <c r="Q130" s="17">
        <f t="shared" si="34"/>
        <v>0</v>
      </c>
      <c r="R130" s="17">
        <f t="shared" si="34"/>
        <v>0</v>
      </c>
    </row>
    <row r="131" spans="1:18">
      <c r="A131" s="18">
        <f t="shared" si="33"/>
        <v>2028</v>
      </c>
      <c r="B131" s="24">
        <f t="shared" si="32"/>
        <v>0</v>
      </c>
      <c r="C131" s="22"/>
      <c r="G131" s="17">
        <f>IFERROR((F130/$B130)*$B131,0)</f>
        <v>0</v>
      </c>
      <c r="H131" s="17">
        <f t="shared" si="34"/>
        <v>0</v>
      </c>
      <c r="I131" s="17">
        <f t="shared" si="34"/>
        <v>0</v>
      </c>
      <c r="J131" s="17">
        <f t="shared" si="34"/>
        <v>0</v>
      </c>
      <c r="K131" s="17">
        <f t="shared" si="34"/>
        <v>0</v>
      </c>
      <c r="L131" s="17">
        <f t="shared" si="34"/>
        <v>0</v>
      </c>
      <c r="M131" s="17">
        <f t="shared" si="34"/>
        <v>0</v>
      </c>
      <c r="N131" s="17">
        <f t="shared" si="34"/>
        <v>0</v>
      </c>
      <c r="O131" s="17">
        <f t="shared" si="34"/>
        <v>0</v>
      </c>
      <c r="P131" s="17">
        <f t="shared" si="34"/>
        <v>0</v>
      </c>
      <c r="Q131" s="17">
        <f t="shared" si="34"/>
        <v>0</v>
      </c>
      <c r="R131" s="17">
        <f t="shared" si="34"/>
        <v>0</v>
      </c>
    </row>
    <row r="132" spans="1:18">
      <c r="A132" s="18">
        <f t="shared" si="33"/>
        <v>2029</v>
      </c>
      <c r="B132" s="24">
        <f t="shared" si="32"/>
        <v>0</v>
      </c>
      <c r="C132" s="22"/>
      <c r="H132" s="17">
        <f>IFERROR((G131/$B131)*$B132,0)</f>
        <v>0</v>
      </c>
      <c r="I132" s="17">
        <f t="shared" si="34"/>
        <v>0</v>
      </c>
      <c r="J132" s="17">
        <f t="shared" si="34"/>
        <v>0</v>
      </c>
      <c r="K132" s="17">
        <f t="shared" si="34"/>
        <v>0</v>
      </c>
      <c r="L132" s="17">
        <f t="shared" si="34"/>
        <v>0</v>
      </c>
      <c r="M132" s="17">
        <f t="shared" si="34"/>
        <v>0</v>
      </c>
      <c r="N132" s="17">
        <f t="shared" si="34"/>
        <v>0</v>
      </c>
      <c r="O132" s="17">
        <f t="shared" si="34"/>
        <v>0</v>
      </c>
      <c r="P132" s="17">
        <f t="shared" si="34"/>
        <v>0</v>
      </c>
      <c r="Q132" s="17">
        <f t="shared" si="34"/>
        <v>0</v>
      </c>
      <c r="R132" s="17">
        <f t="shared" si="34"/>
        <v>0</v>
      </c>
    </row>
    <row r="133" spans="1:18">
      <c r="A133" s="18">
        <f t="shared" si="33"/>
        <v>2030</v>
      </c>
      <c r="B133" s="24">
        <f t="shared" si="32"/>
        <v>0</v>
      </c>
      <c r="C133" s="22"/>
      <c r="I133" s="17">
        <f>IFERROR((H132/$B132)*$B133,0)</f>
        <v>0</v>
      </c>
      <c r="J133" s="17">
        <f t="shared" si="34"/>
        <v>0</v>
      </c>
      <c r="K133" s="17">
        <f t="shared" si="34"/>
        <v>0</v>
      </c>
      <c r="L133" s="17">
        <f t="shared" si="34"/>
        <v>0</v>
      </c>
      <c r="M133" s="17">
        <f t="shared" si="34"/>
        <v>0</v>
      </c>
      <c r="N133" s="17">
        <f t="shared" si="34"/>
        <v>0</v>
      </c>
      <c r="O133" s="17">
        <f t="shared" si="34"/>
        <v>0</v>
      </c>
      <c r="P133" s="17">
        <f t="shared" si="34"/>
        <v>0</v>
      </c>
      <c r="Q133" s="17">
        <f t="shared" si="34"/>
        <v>0</v>
      </c>
      <c r="R133" s="17">
        <f t="shared" si="34"/>
        <v>0</v>
      </c>
    </row>
    <row r="134" spans="1:18">
      <c r="A134" s="18">
        <f t="shared" si="33"/>
        <v>2031</v>
      </c>
      <c r="B134" s="24">
        <f t="shared" si="32"/>
        <v>0</v>
      </c>
      <c r="C134" s="22"/>
      <c r="J134" s="17">
        <f>IFERROR((I133/$B133)*$B134,0)</f>
        <v>0</v>
      </c>
      <c r="K134" s="17">
        <f t="shared" si="34"/>
        <v>0</v>
      </c>
      <c r="L134" s="17">
        <f t="shared" si="34"/>
        <v>0</v>
      </c>
      <c r="M134" s="17">
        <f t="shared" si="34"/>
        <v>0</v>
      </c>
      <c r="N134" s="17">
        <f t="shared" si="34"/>
        <v>0</v>
      </c>
      <c r="O134" s="17">
        <f t="shared" si="34"/>
        <v>0</v>
      </c>
      <c r="P134" s="17">
        <f t="shared" si="34"/>
        <v>0</v>
      </c>
      <c r="Q134" s="17">
        <f t="shared" si="34"/>
        <v>0</v>
      </c>
      <c r="R134" s="17">
        <f t="shared" si="34"/>
        <v>0</v>
      </c>
    </row>
    <row r="135" spans="1:18">
      <c r="A135" s="18">
        <f t="shared" si="33"/>
        <v>2032</v>
      </c>
      <c r="B135" s="24">
        <f t="shared" si="32"/>
        <v>0</v>
      </c>
      <c r="K135" s="17">
        <f>IFERROR((J134/$B134)*$B135,0)</f>
        <v>0</v>
      </c>
      <c r="L135" s="17">
        <f t="shared" si="34"/>
        <v>0</v>
      </c>
      <c r="M135" s="17">
        <f t="shared" si="34"/>
        <v>0</v>
      </c>
      <c r="N135" s="17">
        <f t="shared" si="34"/>
        <v>0</v>
      </c>
      <c r="O135" s="17">
        <f t="shared" si="34"/>
        <v>0</v>
      </c>
      <c r="P135" s="17">
        <f t="shared" si="34"/>
        <v>0</v>
      </c>
      <c r="Q135" s="17">
        <f t="shared" si="34"/>
        <v>0</v>
      </c>
      <c r="R135" s="17">
        <f t="shared" si="34"/>
        <v>0</v>
      </c>
    </row>
    <row r="136" spans="1:18">
      <c r="A136" s="18">
        <f t="shared" si="33"/>
        <v>2033</v>
      </c>
      <c r="B136" s="24">
        <f t="shared" si="32"/>
        <v>0</v>
      </c>
      <c r="L136" s="17">
        <f>IFERROR((K135/$B135)*$B136,0)</f>
        <v>0</v>
      </c>
      <c r="M136" s="17">
        <f t="shared" si="34"/>
        <v>0</v>
      </c>
      <c r="N136" s="17">
        <f t="shared" si="34"/>
        <v>0</v>
      </c>
      <c r="O136" s="17">
        <f t="shared" si="34"/>
        <v>0</v>
      </c>
      <c r="P136" s="17">
        <f t="shared" si="34"/>
        <v>0</v>
      </c>
      <c r="Q136" s="17">
        <f t="shared" si="34"/>
        <v>0</v>
      </c>
      <c r="R136" s="17">
        <f t="shared" si="34"/>
        <v>0</v>
      </c>
    </row>
    <row r="137" spans="1:18">
      <c r="A137" s="18">
        <f t="shared" si="33"/>
        <v>2034</v>
      </c>
      <c r="B137" s="24">
        <f t="shared" si="32"/>
        <v>0</v>
      </c>
      <c r="M137" s="17">
        <f>IFERROR((L136/$B136)*$B137,0)</f>
        <v>0</v>
      </c>
      <c r="N137" s="17">
        <f t="shared" si="34"/>
        <v>0</v>
      </c>
      <c r="O137" s="17">
        <f t="shared" si="34"/>
        <v>0</v>
      </c>
      <c r="P137" s="17">
        <f t="shared" si="34"/>
        <v>0</v>
      </c>
      <c r="Q137" s="17">
        <f t="shared" si="34"/>
        <v>0</v>
      </c>
      <c r="R137" s="17">
        <f t="shared" si="34"/>
        <v>0</v>
      </c>
    </row>
    <row r="138" spans="1:18">
      <c r="A138" s="18">
        <f t="shared" si="33"/>
        <v>2035</v>
      </c>
      <c r="B138" s="24">
        <f t="shared" si="32"/>
        <v>0</v>
      </c>
      <c r="N138" s="17">
        <f>IFERROR((M137/$B137)*$B138,0)</f>
        <v>0</v>
      </c>
      <c r="O138" s="17">
        <f t="shared" si="34"/>
        <v>0</v>
      </c>
      <c r="P138" s="17">
        <f t="shared" si="34"/>
        <v>0</v>
      </c>
      <c r="Q138" s="17">
        <f t="shared" si="34"/>
        <v>0</v>
      </c>
      <c r="R138" s="17">
        <f t="shared" si="34"/>
        <v>0</v>
      </c>
    </row>
    <row r="139" spans="1:18">
      <c r="A139" s="18">
        <f t="shared" si="33"/>
        <v>2036</v>
      </c>
      <c r="B139" s="24">
        <f t="shared" si="32"/>
        <v>0</v>
      </c>
      <c r="O139" s="17">
        <f>IFERROR((N138/$B138)*$B139,0)</f>
        <v>0</v>
      </c>
      <c r="P139" s="17">
        <f t="shared" si="34"/>
        <v>0</v>
      </c>
      <c r="Q139" s="17">
        <f t="shared" si="34"/>
        <v>0</v>
      </c>
      <c r="R139" s="17">
        <f t="shared" si="34"/>
        <v>0</v>
      </c>
    </row>
    <row r="140" spans="1:18">
      <c r="A140" s="18">
        <f t="shared" si="33"/>
        <v>2037</v>
      </c>
      <c r="B140" s="24">
        <f t="shared" si="32"/>
        <v>0</v>
      </c>
      <c r="P140" s="17">
        <f>IFERROR((O139/$B139)*$B140,0)</f>
        <v>0</v>
      </c>
      <c r="Q140" s="17">
        <f t="shared" si="34"/>
        <v>0</v>
      </c>
      <c r="R140" s="17">
        <f t="shared" si="34"/>
        <v>0</v>
      </c>
    </row>
    <row r="141" spans="1:18">
      <c r="A141" s="18">
        <f t="shared" si="33"/>
        <v>2038</v>
      </c>
      <c r="B141" s="24">
        <f t="shared" si="32"/>
        <v>0</v>
      </c>
      <c r="Q141" s="17">
        <f>IFERROR((P140/$B140)*$B141,0)</f>
        <v>0</v>
      </c>
      <c r="R141" s="17">
        <f t="shared" si="34"/>
        <v>0</v>
      </c>
    </row>
    <row r="142" spans="1:18">
      <c r="A142" s="18">
        <f t="shared" si="33"/>
        <v>2039</v>
      </c>
      <c r="B142" s="24">
        <f t="shared" si="32"/>
        <v>0</v>
      </c>
      <c r="R142" s="17">
        <f>IFERROR((Q141/$B141)*$B142,0)</f>
        <v>0</v>
      </c>
    </row>
    <row r="143" spans="1:18">
      <c r="R143" s="17"/>
    </row>
    <row r="144" spans="1:18">
      <c r="A144" s="21" t="s">
        <v>33</v>
      </c>
      <c r="C144" s="20"/>
      <c r="D144" s="20">
        <f>SUM(D128:D142)</f>
        <v>0</v>
      </c>
      <c r="E144" s="20">
        <f t="shared" ref="E144:R144" si="35">SUM(E128:E142)</f>
        <v>0</v>
      </c>
      <c r="F144" s="20">
        <f t="shared" si="35"/>
        <v>0</v>
      </c>
      <c r="G144" s="20">
        <f t="shared" si="35"/>
        <v>0</v>
      </c>
      <c r="H144" s="20">
        <f t="shared" si="35"/>
        <v>0</v>
      </c>
      <c r="I144" s="20">
        <f t="shared" si="35"/>
        <v>0</v>
      </c>
      <c r="J144" s="20">
        <f t="shared" si="35"/>
        <v>0</v>
      </c>
      <c r="K144" s="20">
        <f t="shared" si="35"/>
        <v>0</v>
      </c>
      <c r="L144" s="20">
        <f t="shared" si="35"/>
        <v>0</v>
      </c>
      <c r="M144" s="20">
        <f t="shared" si="35"/>
        <v>0</v>
      </c>
      <c r="N144" s="20">
        <f t="shared" si="35"/>
        <v>0</v>
      </c>
      <c r="O144" s="20">
        <f t="shared" si="35"/>
        <v>0</v>
      </c>
      <c r="P144" s="20">
        <f t="shared" si="35"/>
        <v>0</v>
      </c>
      <c r="Q144" s="20">
        <f t="shared" si="35"/>
        <v>0</v>
      </c>
      <c r="R144" s="20">
        <f t="shared" si="35"/>
        <v>0</v>
      </c>
    </row>
    <row r="145" spans="1:18">
      <c r="A145" s="21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1:18">
      <c r="A146" s="21" t="s">
        <v>307</v>
      </c>
      <c r="C146" s="20"/>
      <c r="D146" s="20">
        <f>SUM(D144,D84,D60,D36)</f>
        <v>-10000000</v>
      </c>
      <c r="E146" s="20">
        <f t="shared" ref="E146:R146" si="36">SUM(E144,E84,E60,E36)</f>
        <v>0</v>
      </c>
      <c r="F146" s="20">
        <f t="shared" si="36"/>
        <v>0</v>
      </c>
      <c r="G146" s="20">
        <f t="shared" si="36"/>
        <v>0</v>
      </c>
      <c r="H146" s="20">
        <f t="shared" si="36"/>
        <v>0</v>
      </c>
      <c r="I146" s="20">
        <f t="shared" si="36"/>
        <v>0</v>
      </c>
      <c r="J146" s="20">
        <f t="shared" si="36"/>
        <v>0</v>
      </c>
      <c r="K146" s="20">
        <f t="shared" si="36"/>
        <v>0</v>
      </c>
      <c r="L146" s="20">
        <f t="shared" si="36"/>
        <v>0</v>
      </c>
      <c r="M146" s="20">
        <f t="shared" si="36"/>
        <v>0</v>
      </c>
      <c r="N146" s="20">
        <f t="shared" si="36"/>
        <v>0</v>
      </c>
      <c r="O146" s="20">
        <f t="shared" si="36"/>
        <v>0</v>
      </c>
      <c r="P146" s="20">
        <f t="shared" si="36"/>
        <v>0</v>
      </c>
      <c r="Q146" s="20">
        <f t="shared" si="36"/>
        <v>0</v>
      </c>
      <c r="R146" s="20">
        <f t="shared" si="36"/>
        <v>0</v>
      </c>
    </row>
    <row r="147" spans="1:18">
      <c r="R147" s="17"/>
    </row>
    <row r="148" spans="1:18">
      <c r="A148" s="19" t="s">
        <v>316</v>
      </c>
      <c r="D148" s="17">
        <f>D146</f>
        <v>-10000000</v>
      </c>
      <c r="E148" s="17">
        <f>SUM($D$146:E147)</f>
        <v>-10000000</v>
      </c>
      <c r="F148" s="17">
        <f>SUM($D$146:F147)</f>
        <v>-10000000</v>
      </c>
      <c r="G148" s="17">
        <f>SUM($D$146:G147)</f>
        <v>-10000000</v>
      </c>
      <c r="H148" s="17">
        <f>SUM($D$146:H147)</f>
        <v>-10000000</v>
      </c>
      <c r="I148" s="17">
        <f>SUM($D$146:I147)</f>
        <v>-10000000</v>
      </c>
      <c r="J148" s="17">
        <f>SUM($D$146:J147)</f>
        <v>-10000000</v>
      </c>
      <c r="K148" s="17">
        <f>SUM($D$146:K147)</f>
        <v>-10000000</v>
      </c>
      <c r="L148" s="17">
        <f>SUM($D$146:L147)</f>
        <v>-10000000</v>
      </c>
      <c r="M148" s="17">
        <f>SUM($D$146:M147)</f>
        <v>-10000000</v>
      </c>
      <c r="N148" s="17">
        <f>SUM($D$146:N147)</f>
        <v>-10000000</v>
      </c>
      <c r="O148" s="17">
        <f>SUM($D$146:O147)</f>
        <v>-10000000</v>
      </c>
      <c r="P148" s="17">
        <f>SUM($D$146:P147)</f>
        <v>-10000000</v>
      </c>
      <c r="Q148" s="17">
        <f>SUM($D$146:Q147)</f>
        <v>-10000000</v>
      </c>
      <c r="R148" s="17">
        <f>SUM($D$146:R147)</f>
        <v>-10000000</v>
      </c>
    </row>
    <row r="149" spans="1:18">
      <c r="R149" s="17"/>
    </row>
    <row r="150" spans="1:18">
      <c r="C150" s="39"/>
      <c r="D150" s="39" t="s">
        <v>39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15" t="s">
        <v>30</v>
      </c>
      <c r="B151" s="16" t="s">
        <v>0</v>
      </c>
      <c r="C151" s="15"/>
      <c r="D151" s="15">
        <f t="shared" ref="D151:R151" si="37">D$100</f>
        <v>2025</v>
      </c>
      <c r="E151" s="15">
        <f t="shared" si="37"/>
        <v>2026</v>
      </c>
      <c r="F151" s="15">
        <f t="shared" si="37"/>
        <v>2027</v>
      </c>
      <c r="G151" s="15">
        <f t="shared" si="37"/>
        <v>2028</v>
      </c>
      <c r="H151" s="15">
        <f t="shared" si="37"/>
        <v>2029</v>
      </c>
      <c r="I151" s="15">
        <f t="shared" si="37"/>
        <v>2030</v>
      </c>
      <c r="J151" s="15">
        <f t="shared" si="37"/>
        <v>2031</v>
      </c>
      <c r="K151" s="15">
        <f t="shared" si="37"/>
        <v>2032</v>
      </c>
      <c r="L151" s="15">
        <f t="shared" si="37"/>
        <v>2033</v>
      </c>
      <c r="M151" s="15">
        <f t="shared" si="37"/>
        <v>2034</v>
      </c>
      <c r="N151" s="15">
        <f t="shared" si="37"/>
        <v>2035</v>
      </c>
      <c r="O151" s="15">
        <f t="shared" si="37"/>
        <v>2036</v>
      </c>
      <c r="P151" s="15">
        <f t="shared" si="37"/>
        <v>2037</v>
      </c>
      <c r="Q151" s="15">
        <f t="shared" si="37"/>
        <v>2038</v>
      </c>
      <c r="R151" s="15">
        <f t="shared" si="37"/>
        <v>2039</v>
      </c>
    </row>
    <row r="152" spans="1:18">
      <c r="A152" s="18">
        <f>A101</f>
        <v>2025</v>
      </c>
      <c r="B152" s="24">
        <f t="shared" ref="B152:B166" si="38">B128</f>
        <v>0</v>
      </c>
      <c r="D152" s="17">
        <f>VLOOKUP(D$100,'Aggregated Median CA data'!$D$126:$M$140,8,0)*$B152</f>
        <v>0</v>
      </c>
      <c r="E152" s="17">
        <f>VLOOKUP(E$100,'Aggregated Median CA data'!$D$126:$M$140,8,0)*$B152</f>
        <v>0</v>
      </c>
      <c r="F152" s="17">
        <f>VLOOKUP(F$100,'Aggregated Median CA data'!$D$126:$M$140,8,0)*$B152</f>
        <v>0</v>
      </c>
      <c r="G152" s="17">
        <f>VLOOKUP(G$100,'Aggregated Median CA data'!$D$126:$M$140,8,0)*$B152</f>
        <v>0</v>
      </c>
      <c r="H152" s="17">
        <f>VLOOKUP(H$100,'Aggregated Median CA data'!$D$126:$M$140,8,0)*$B152</f>
        <v>0</v>
      </c>
      <c r="I152" s="17">
        <f>VLOOKUP(I$100,'Aggregated Median CA data'!$D$126:$M$140,8,0)*$B152</f>
        <v>0</v>
      </c>
      <c r="J152" s="17">
        <f>VLOOKUP(J$100,'Aggregated Median CA data'!$D$126:$M$140,8,0)*$B152</f>
        <v>0</v>
      </c>
      <c r="K152" s="17">
        <f>VLOOKUP(K$100,'Aggregated Median CA data'!$D$126:$M$140,8,0)*$B152</f>
        <v>0</v>
      </c>
      <c r="L152" s="17">
        <f>VLOOKUP(L$100,'Aggregated Median CA data'!$D$126:$M$140,8,0)*$B152</f>
        <v>0</v>
      </c>
      <c r="M152" s="17">
        <f>VLOOKUP(M$100,'Aggregated Median CA data'!$D$126:$M$140,8,0)*$B152</f>
        <v>0</v>
      </c>
      <c r="N152" s="17">
        <f>VLOOKUP(N$100,'Aggregated Median CA data'!$D$126:$M$140,8,0)*$B152</f>
        <v>0</v>
      </c>
      <c r="O152" s="17">
        <f>VLOOKUP(O$100,'Aggregated Median CA data'!$D$126:$M$140,8,0)*$B152</f>
        <v>0</v>
      </c>
      <c r="P152" s="17">
        <f>VLOOKUP(P$100,'Aggregated Median CA data'!$D$126:$M$140,8,0)*$B152</f>
        <v>0</v>
      </c>
      <c r="Q152" s="17">
        <f>VLOOKUP(Q$100,'Aggregated Median CA data'!$D$126:$M$140,8,0)*$B152</f>
        <v>0</v>
      </c>
      <c r="R152" s="17">
        <f>VLOOKUP(R$100,'Aggregated Median CA data'!$D$126:$M$140,8,0)*$B152</f>
        <v>0</v>
      </c>
    </row>
    <row r="153" spans="1:18">
      <c r="A153" s="18">
        <f t="shared" ref="A153:A166" si="39">A102</f>
        <v>2026</v>
      </c>
      <c r="B153" s="24">
        <f t="shared" si="38"/>
        <v>0</v>
      </c>
      <c r="C153" s="22"/>
      <c r="D153" s="22"/>
      <c r="E153" s="17">
        <f>IFERROR((D152/$B152)*$B153,0)</f>
        <v>0</v>
      </c>
      <c r="F153" s="17">
        <f t="shared" ref="F153:R165" si="40">IFERROR((E152/$B152)*$B153,0)</f>
        <v>0</v>
      </c>
      <c r="G153" s="17">
        <f t="shared" si="40"/>
        <v>0</v>
      </c>
      <c r="H153" s="17">
        <f t="shared" si="40"/>
        <v>0</v>
      </c>
      <c r="I153" s="17">
        <f t="shared" si="40"/>
        <v>0</v>
      </c>
      <c r="J153" s="17">
        <f t="shared" si="40"/>
        <v>0</v>
      </c>
      <c r="K153" s="17">
        <f t="shared" si="40"/>
        <v>0</v>
      </c>
      <c r="L153" s="17">
        <f t="shared" si="40"/>
        <v>0</v>
      </c>
      <c r="M153" s="17">
        <f t="shared" si="40"/>
        <v>0</v>
      </c>
      <c r="N153" s="17">
        <f t="shared" si="40"/>
        <v>0</v>
      </c>
      <c r="O153" s="17">
        <f t="shared" si="40"/>
        <v>0</v>
      </c>
      <c r="P153" s="17">
        <f t="shared" si="40"/>
        <v>0</v>
      </c>
      <c r="Q153" s="17">
        <f t="shared" si="40"/>
        <v>0</v>
      </c>
      <c r="R153" s="17">
        <f t="shared" si="40"/>
        <v>0</v>
      </c>
    </row>
    <row r="154" spans="1:18">
      <c r="A154" s="18">
        <f t="shared" si="39"/>
        <v>2027</v>
      </c>
      <c r="B154" s="24">
        <f t="shared" si="38"/>
        <v>0</v>
      </c>
      <c r="C154" s="22"/>
      <c r="D154" s="22"/>
      <c r="E154" s="22"/>
      <c r="F154" s="17">
        <f>IFERROR((E153/$B153)*$B154,0)</f>
        <v>0</v>
      </c>
      <c r="G154" s="17">
        <f t="shared" si="40"/>
        <v>0</v>
      </c>
      <c r="H154" s="17">
        <f t="shared" si="40"/>
        <v>0</v>
      </c>
      <c r="I154" s="17">
        <f t="shared" si="40"/>
        <v>0</v>
      </c>
      <c r="J154" s="17">
        <f t="shared" si="40"/>
        <v>0</v>
      </c>
      <c r="K154" s="17">
        <f t="shared" si="40"/>
        <v>0</v>
      </c>
      <c r="L154" s="17">
        <f t="shared" si="40"/>
        <v>0</v>
      </c>
      <c r="M154" s="17">
        <f t="shared" si="40"/>
        <v>0</v>
      </c>
      <c r="N154" s="17">
        <f t="shared" si="40"/>
        <v>0</v>
      </c>
      <c r="O154" s="17">
        <f t="shared" si="40"/>
        <v>0</v>
      </c>
      <c r="P154" s="17">
        <f t="shared" si="40"/>
        <v>0</v>
      </c>
      <c r="Q154" s="17">
        <f t="shared" si="40"/>
        <v>0</v>
      </c>
      <c r="R154" s="17">
        <f t="shared" si="40"/>
        <v>0</v>
      </c>
    </row>
    <row r="155" spans="1:18">
      <c r="A155" s="18">
        <f t="shared" si="39"/>
        <v>2028</v>
      </c>
      <c r="B155" s="24">
        <f t="shared" si="38"/>
        <v>0</v>
      </c>
      <c r="C155" s="22"/>
      <c r="D155" s="22"/>
      <c r="E155" s="22"/>
      <c r="F155" s="22"/>
      <c r="G155" s="17">
        <f>IFERROR((F154/$B154)*$B155,0)</f>
        <v>0</v>
      </c>
      <c r="H155" s="17">
        <f t="shared" si="40"/>
        <v>0</v>
      </c>
      <c r="I155" s="17">
        <f t="shared" si="40"/>
        <v>0</v>
      </c>
      <c r="J155" s="17">
        <f t="shared" si="40"/>
        <v>0</v>
      </c>
      <c r="K155" s="17">
        <f t="shared" si="40"/>
        <v>0</v>
      </c>
      <c r="L155" s="17">
        <f t="shared" si="40"/>
        <v>0</v>
      </c>
      <c r="M155" s="17">
        <f t="shared" si="40"/>
        <v>0</v>
      </c>
      <c r="N155" s="17">
        <f t="shared" si="40"/>
        <v>0</v>
      </c>
      <c r="O155" s="17">
        <f t="shared" si="40"/>
        <v>0</v>
      </c>
      <c r="P155" s="17">
        <f t="shared" si="40"/>
        <v>0</v>
      </c>
      <c r="Q155" s="17">
        <f t="shared" si="40"/>
        <v>0</v>
      </c>
      <c r="R155" s="17">
        <f t="shared" si="40"/>
        <v>0</v>
      </c>
    </row>
    <row r="156" spans="1:18">
      <c r="A156" s="18">
        <f t="shared" si="39"/>
        <v>2029</v>
      </c>
      <c r="B156" s="24">
        <f t="shared" si="38"/>
        <v>0</v>
      </c>
      <c r="C156" s="22"/>
      <c r="D156" s="22"/>
      <c r="E156" s="22"/>
      <c r="F156" s="22"/>
      <c r="G156" s="22"/>
      <c r="H156" s="17">
        <f>IFERROR((G155/$B155)*$B156,0)</f>
        <v>0</v>
      </c>
      <c r="I156" s="17">
        <f t="shared" si="40"/>
        <v>0</v>
      </c>
      <c r="J156" s="17">
        <f t="shared" si="40"/>
        <v>0</v>
      </c>
      <c r="K156" s="17">
        <f t="shared" si="40"/>
        <v>0</v>
      </c>
      <c r="L156" s="17">
        <f t="shared" si="40"/>
        <v>0</v>
      </c>
      <c r="M156" s="17">
        <f t="shared" si="40"/>
        <v>0</v>
      </c>
      <c r="N156" s="17">
        <f t="shared" si="40"/>
        <v>0</v>
      </c>
      <c r="O156" s="17">
        <f t="shared" si="40"/>
        <v>0</v>
      </c>
      <c r="P156" s="17">
        <f t="shared" si="40"/>
        <v>0</v>
      </c>
      <c r="Q156" s="17">
        <f t="shared" si="40"/>
        <v>0</v>
      </c>
      <c r="R156" s="17">
        <f t="shared" si="40"/>
        <v>0</v>
      </c>
    </row>
    <row r="157" spans="1:18">
      <c r="A157" s="18">
        <f t="shared" si="39"/>
        <v>2030</v>
      </c>
      <c r="B157" s="24">
        <f t="shared" si="38"/>
        <v>0</v>
      </c>
      <c r="C157" s="22"/>
      <c r="D157" s="22"/>
      <c r="E157" s="22"/>
      <c r="F157" s="22"/>
      <c r="G157" s="22"/>
      <c r="H157" s="22"/>
      <c r="I157" s="17">
        <f>IFERROR((H156/$B156)*$B157,0)</f>
        <v>0</v>
      </c>
      <c r="J157" s="17">
        <f t="shared" si="40"/>
        <v>0</v>
      </c>
      <c r="K157" s="17">
        <f t="shared" si="40"/>
        <v>0</v>
      </c>
      <c r="L157" s="17">
        <f t="shared" si="40"/>
        <v>0</v>
      </c>
      <c r="M157" s="17">
        <f t="shared" si="40"/>
        <v>0</v>
      </c>
      <c r="N157" s="17">
        <f t="shared" si="40"/>
        <v>0</v>
      </c>
      <c r="O157" s="17">
        <f t="shared" si="40"/>
        <v>0</v>
      </c>
      <c r="P157" s="17">
        <f t="shared" si="40"/>
        <v>0</v>
      </c>
      <c r="Q157" s="17">
        <f t="shared" si="40"/>
        <v>0</v>
      </c>
      <c r="R157" s="17">
        <f t="shared" si="40"/>
        <v>0</v>
      </c>
    </row>
    <row r="158" spans="1:18">
      <c r="A158" s="18">
        <f t="shared" si="39"/>
        <v>2031</v>
      </c>
      <c r="B158" s="24">
        <f t="shared" si="38"/>
        <v>0</v>
      </c>
      <c r="C158" s="22"/>
      <c r="D158" s="22"/>
      <c r="E158" s="22"/>
      <c r="F158" s="22"/>
      <c r="G158" s="22"/>
      <c r="H158" s="22"/>
      <c r="I158" s="22"/>
      <c r="J158" s="17">
        <f>IFERROR((I157/$B157)*$B158,0)</f>
        <v>0</v>
      </c>
      <c r="K158" s="17">
        <f t="shared" si="40"/>
        <v>0</v>
      </c>
      <c r="L158" s="17">
        <f t="shared" si="40"/>
        <v>0</v>
      </c>
      <c r="M158" s="17">
        <f t="shared" si="40"/>
        <v>0</v>
      </c>
      <c r="N158" s="17">
        <f t="shared" si="40"/>
        <v>0</v>
      </c>
      <c r="O158" s="17">
        <f t="shared" si="40"/>
        <v>0</v>
      </c>
      <c r="P158" s="17">
        <f t="shared" si="40"/>
        <v>0</v>
      </c>
      <c r="Q158" s="17">
        <f t="shared" si="40"/>
        <v>0</v>
      </c>
      <c r="R158" s="17">
        <f t="shared" si="40"/>
        <v>0</v>
      </c>
    </row>
    <row r="159" spans="1:18">
      <c r="A159" s="18">
        <f t="shared" si="39"/>
        <v>2032</v>
      </c>
      <c r="B159" s="24">
        <f t="shared" si="38"/>
        <v>0</v>
      </c>
      <c r="K159" s="17">
        <f>IFERROR((J158/$B158)*$B159,0)</f>
        <v>0</v>
      </c>
      <c r="L159" s="17">
        <f t="shared" si="40"/>
        <v>0</v>
      </c>
      <c r="M159" s="17">
        <f t="shared" si="40"/>
        <v>0</v>
      </c>
      <c r="N159" s="17">
        <f t="shared" si="40"/>
        <v>0</v>
      </c>
      <c r="O159" s="17">
        <f t="shared" si="40"/>
        <v>0</v>
      </c>
      <c r="P159" s="17">
        <f t="shared" si="40"/>
        <v>0</v>
      </c>
      <c r="Q159" s="17">
        <f t="shared" si="40"/>
        <v>0</v>
      </c>
      <c r="R159" s="17">
        <f t="shared" si="40"/>
        <v>0</v>
      </c>
    </row>
    <row r="160" spans="1:18">
      <c r="A160" s="18">
        <f t="shared" si="39"/>
        <v>2033</v>
      </c>
      <c r="B160" s="24">
        <f t="shared" si="38"/>
        <v>0</v>
      </c>
      <c r="L160" s="17">
        <f>IFERROR((K159/$B159)*$B160,0)</f>
        <v>0</v>
      </c>
      <c r="M160" s="17">
        <f t="shared" si="40"/>
        <v>0</v>
      </c>
      <c r="N160" s="17">
        <f t="shared" si="40"/>
        <v>0</v>
      </c>
      <c r="O160" s="17">
        <f t="shared" si="40"/>
        <v>0</v>
      </c>
      <c r="P160" s="17">
        <f t="shared" si="40"/>
        <v>0</v>
      </c>
      <c r="Q160" s="17">
        <f t="shared" si="40"/>
        <v>0</v>
      </c>
      <c r="R160" s="17">
        <f t="shared" si="40"/>
        <v>0</v>
      </c>
    </row>
    <row r="161" spans="1:18">
      <c r="A161" s="18">
        <f t="shared" si="39"/>
        <v>2034</v>
      </c>
      <c r="B161" s="24">
        <f t="shared" si="38"/>
        <v>0</v>
      </c>
      <c r="M161" s="17">
        <f>IFERROR((L160/$B160)*$B161,0)</f>
        <v>0</v>
      </c>
      <c r="N161" s="17">
        <f t="shared" si="40"/>
        <v>0</v>
      </c>
      <c r="O161" s="17">
        <f t="shared" si="40"/>
        <v>0</v>
      </c>
      <c r="P161" s="17">
        <f t="shared" si="40"/>
        <v>0</v>
      </c>
      <c r="Q161" s="17">
        <f t="shared" si="40"/>
        <v>0</v>
      </c>
      <c r="R161" s="17">
        <f t="shared" si="40"/>
        <v>0</v>
      </c>
    </row>
    <row r="162" spans="1:18">
      <c r="A162" s="18">
        <f t="shared" si="39"/>
        <v>2035</v>
      </c>
      <c r="B162" s="24">
        <f t="shared" si="38"/>
        <v>0</v>
      </c>
      <c r="N162" s="17">
        <f>IFERROR((M161/$B161)*$B162,0)</f>
        <v>0</v>
      </c>
      <c r="O162" s="17">
        <f t="shared" si="40"/>
        <v>0</v>
      </c>
      <c r="P162" s="17">
        <f t="shared" si="40"/>
        <v>0</v>
      </c>
      <c r="Q162" s="17">
        <f t="shared" si="40"/>
        <v>0</v>
      </c>
      <c r="R162" s="17">
        <f t="shared" si="40"/>
        <v>0</v>
      </c>
    </row>
    <row r="163" spans="1:18">
      <c r="A163" s="18">
        <f t="shared" si="39"/>
        <v>2036</v>
      </c>
      <c r="B163" s="24">
        <f t="shared" si="38"/>
        <v>0</v>
      </c>
      <c r="O163" s="17">
        <f>IFERROR((N162/$B162)*$B163,0)</f>
        <v>0</v>
      </c>
      <c r="P163" s="17">
        <f t="shared" si="40"/>
        <v>0</v>
      </c>
      <c r="Q163" s="17">
        <f t="shared" si="40"/>
        <v>0</v>
      </c>
      <c r="R163" s="17">
        <f t="shared" si="40"/>
        <v>0</v>
      </c>
    </row>
    <row r="164" spans="1:18">
      <c r="A164" s="18">
        <f t="shared" si="39"/>
        <v>2037</v>
      </c>
      <c r="B164" s="24">
        <f t="shared" si="38"/>
        <v>0</v>
      </c>
      <c r="P164" s="17">
        <f>IFERROR((O163/$B163)*$B164,0)</f>
        <v>0</v>
      </c>
      <c r="Q164" s="17">
        <f t="shared" si="40"/>
        <v>0</v>
      </c>
      <c r="R164" s="17">
        <f t="shared" si="40"/>
        <v>0</v>
      </c>
    </row>
    <row r="165" spans="1:18">
      <c r="A165" s="18">
        <f t="shared" si="39"/>
        <v>2038</v>
      </c>
      <c r="B165" s="24">
        <f t="shared" si="38"/>
        <v>0</v>
      </c>
      <c r="Q165" s="17">
        <f>IFERROR((P164/$B164)*$B165,0)</f>
        <v>0</v>
      </c>
      <c r="R165" s="17">
        <f t="shared" si="40"/>
        <v>0</v>
      </c>
    </row>
    <row r="166" spans="1:18">
      <c r="A166" s="18">
        <f t="shared" si="39"/>
        <v>2039</v>
      </c>
      <c r="B166" s="24">
        <f t="shared" si="38"/>
        <v>0</v>
      </c>
      <c r="Q166" s="22"/>
      <c r="R166" s="17">
        <f>IFERROR((Q165/$B165)*$B166,0)</f>
        <v>0</v>
      </c>
    </row>
    <row r="167" spans="1:18">
      <c r="R167" s="17"/>
    </row>
    <row r="168" spans="1:18">
      <c r="A168" s="21" t="s">
        <v>33</v>
      </c>
      <c r="C168" s="20"/>
      <c r="D168" s="20">
        <f>SUM(D152:D166)</f>
        <v>0</v>
      </c>
      <c r="E168" s="20">
        <f t="shared" ref="E168:R168" si="41">SUM(E152:E166)</f>
        <v>0</v>
      </c>
      <c r="F168" s="20">
        <f t="shared" si="41"/>
        <v>0</v>
      </c>
      <c r="G168" s="20">
        <f t="shared" si="41"/>
        <v>0</v>
      </c>
      <c r="H168" s="20">
        <f t="shared" si="41"/>
        <v>0</v>
      </c>
      <c r="I168" s="20">
        <f t="shared" si="41"/>
        <v>0</v>
      </c>
      <c r="J168" s="20">
        <f t="shared" si="41"/>
        <v>0</v>
      </c>
      <c r="K168" s="20">
        <f t="shared" si="41"/>
        <v>0</v>
      </c>
      <c r="L168" s="20">
        <f t="shared" si="41"/>
        <v>0</v>
      </c>
      <c r="M168" s="20">
        <f t="shared" si="41"/>
        <v>0</v>
      </c>
      <c r="N168" s="20">
        <f t="shared" si="41"/>
        <v>0</v>
      </c>
      <c r="O168" s="20">
        <f t="shared" si="41"/>
        <v>0</v>
      </c>
      <c r="P168" s="20">
        <f t="shared" si="41"/>
        <v>0</v>
      </c>
      <c r="Q168" s="20">
        <f t="shared" si="41"/>
        <v>0</v>
      </c>
      <c r="R168" s="20">
        <f t="shared" si="41"/>
        <v>0</v>
      </c>
    </row>
    <row r="169" spans="1:18">
      <c r="A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</row>
    <row r="170" spans="1:18">
      <c r="A170" s="21" t="s">
        <v>307</v>
      </c>
      <c r="C170" s="20"/>
      <c r="D170" s="20">
        <f>SUM(D168,D89,D65,D41)</f>
        <v>0</v>
      </c>
      <c r="E170" s="20">
        <f t="shared" ref="E170:R170" si="42">SUM(E168,E89,E65,E41)</f>
        <v>0</v>
      </c>
      <c r="F170" s="20">
        <f t="shared" si="42"/>
        <v>0</v>
      </c>
      <c r="G170" s="20">
        <f t="shared" si="42"/>
        <v>0</v>
      </c>
      <c r="H170" s="20">
        <f t="shared" si="42"/>
        <v>0</v>
      </c>
      <c r="I170" s="20">
        <f t="shared" si="42"/>
        <v>0</v>
      </c>
      <c r="J170" s="20">
        <f t="shared" si="42"/>
        <v>0</v>
      </c>
      <c r="K170" s="20">
        <f t="shared" si="42"/>
        <v>0</v>
      </c>
      <c r="L170" s="20">
        <f t="shared" si="42"/>
        <v>0</v>
      </c>
      <c r="M170" s="20">
        <f t="shared" si="42"/>
        <v>0</v>
      </c>
      <c r="N170" s="20">
        <f t="shared" si="42"/>
        <v>0</v>
      </c>
      <c r="O170" s="20">
        <f t="shared" si="42"/>
        <v>0</v>
      </c>
      <c r="P170" s="20">
        <f t="shared" si="42"/>
        <v>0</v>
      </c>
      <c r="Q170" s="20">
        <f t="shared" si="42"/>
        <v>0</v>
      </c>
      <c r="R170" s="20">
        <f t="shared" si="42"/>
        <v>0</v>
      </c>
    </row>
    <row r="171" spans="1:18">
      <c r="A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</row>
    <row r="172" spans="1:18">
      <c r="A172" s="21" t="s">
        <v>315</v>
      </c>
      <c r="C172" s="20"/>
      <c r="D172" s="20">
        <f>D170</f>
        <v>0</v>
      </c>
      <c r="E172" s="20">
        <f>SUM($D$170:E170)</f>
        <v>0</v>
      </c>
      <c r="F172" s="20">
        <f>SUM($D$170:F170)</f>
        <v>0</v>
      </c>
      <c r="G172" s="20">
        <f>SUM($D$170:G170)</f>
        <v>0</v>
      </c>
      <c r="H172" s="20">
        <f>SUM($D$170:H170)</f>
        <v>0</v>
      </c>
      <c r="I172" s="20">
        <f>SUM($D$170:I170)</f>
        <v>0</v>
      </c>
      <c r="J172" s="20">
        <f>SUM($D$170:J170)</f>
        <v>0</v>
      </c>
      <c r="K172" s="20">
        <f>SUM($D$170:K170)</f>
        <v>0</v>
      </c>
      <c r="L172" s="20">
        <f>SUM($D$170:L170)</f>
        <v>0</v>
      </c>
      <c r="M172" s="20">
        <f>SUM($D$170:M170)</f>
        <v>0</v>
      </c>
      <c r="N172" s="20">
        <f>SUM($D$170:N170)</f>
        <v>0</v>
      </c>
      <c r="O172" s="20">
        <f>SUM($D$170:O170)</f>
        <v>0</v>
      </c>
      <c r="P172" s="20">
        <f>SUM($D$170:P170)</f>
        <v>0</v>
      </c>
      <c r="Q172" s="20">
        <f>SUM($D$170:Q170)</f>
        <v>0</v>
      </c>
      <c r="R172" s="20">
        <f>SUM($D$170:R170)</f>
        <v>0</v>
      </c>
    </row>
    <row r="173" spans="1:18">
      <c r="R173" s="17"/>
    </row>
    <row r="174" spans="1:18">
      <c r="C174" s="39"/>
      <c r="D174" s="39" t="s">
        <v>2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15" t="s">
        <v>30</v>
      </c>
      <c r="B175" s="16" t="s">
        <v>0</v>
      </c>
      <c r="C175" s="15"/>
      <c r="D175" s="15">
        <f t="shared" ref="D175:R175" si="43">D$100</f>
        <v>2025</v>
      </c>
      <c r="E175" s="15">
        <f t="shared" si="43"/>
        <v>2026</v>
      </c>
      <c r="F175" s="15">
        <f t="shared" si="43"/>
        <v>2027</v>
      </c>
      <c r="G175" s="15">
        <f t="shared" si="43"/>
        <v>2028</v>
      </c>
      <c r="H175" s="15">
        <f t="shared" si="43"/>
        <v>2029</v>
      </c>
      <c r="I175" s="15">
        <f t="shared" si="43"/>
        <v>2030</v>
      </c>
      <c r="J175" s="15">
        <f t="shared" si="43"/>
        <v>2031</v>
      </c>
      <c r="K175" s="15">
        <f t="shared" si="43"/>
        <v>2032</v>
      </c>
      <c r="L175" s="15">
        <f t="shared" si="43"/>
        <v>2033</v>
      </c>
      <c r="M175" s="15">
        <f t="shared" si="43"/>
        <v>2034</v>
      </c>
      <c r="N175" s="15">
        <f t="shared" si="43"/>
        <v>2035</v>
      </c>
      <c r="O175" s="15">
        <f t="shared" si="43"/>
        <v>2036</v>
      </c>
      <c r="P175" s="15">
        <f t="shared" si="43"/>
        <v>2037</v>
      </c>
      <c r="Q175" s="15">
        <f t="shared" si="43"/>
        <v>2038</v>
      </c>
      <c r="R175" s="15">
        <f t="shared" si="43"/>
        <v>2039</v>
      </c>
    </row>
    <row r="176" spans="1:18">
      <c r="A176" s="18">
        <f t="shared" ref="A176:A190" si="44">A101</f>
        <v>2025</v>
      </c>
      <c r="B176" s="24">
        <f t="shared" ref="B176:B190" si="45">B152</f>
        <v>0</v>
      </c>
      <c r="D176" s="17">
        <f>VLOOKUP(D$100,'Aggregated Median CA data'!$D$126:$M$140,9,0)*$B176</f>
        <v>0</v>
      </c>
      <c r="E176" s="17">
        <f>VLOOKUP(E$100,'Aggregated Median CA data'!$D$126:$M$140,9,0)*$B176</f>
        <v>0</v>
      </c>
      <c r="F176" s="17">
        <f>VLOOKUP(F$100,'Aggregated Median CA data'!$D$126:$M$140,9,0)*$B176</f>
        <v>0</v>
      </c>
      <c r="G176" s="17">
        <f>VLOOKUP(G$100,'Aggregated Median CA data'!$D$126:$M$140,9,0)*$B176</f>
        <v>0</v>
      </c>
      <c r="H176" s="17">
        <f>VLOOKUP(H$100,'Aggregated Median CA data'!$D$126:$M$140,9,0)*$B176</f>
        <v>0</v>
      </c>
      <c r="I176" s="17">
        <f>VLOOKUP(I$100,'Aggregated Median CA data'!$D$126:$M$140,9,0)*$B176</f>
        <v>0</v>
      </c>
      <c r="J176" s="17">
        <f>VLOOKUP(J$100,'Aggregated Median CA data'!$D$126:$M$140,9,0)*$B176</f>
        <v>0</v>
      </c>
      <c r="K176" s="17">
        <f>VLOOKUP(K$100,'Aggregated Median CA data'!$D$126:$M$140,9,0)*$B176</f>
        <v>0</v>
      </c>
      <c r="L176" s="17">
        <f>VLOOKUP(L$100,'Aggregated Median CA data'!$D$126:$M$140,9,0)*$B176</f>
        <v>0</v>
      </c>
      <c r="M176" s="17">
        <f>VLOOKUP(M$100,'Aggregated Median CA data'!$D$126:$M$140,9,0)*$B176</f>
        <v>0</v>
      </c>
      <c r="N176" s="17">
        <f>VLOOKUP(N$100,'Aggregated Median CA data'!$D$126:$M$140,9,0)*$B176</f>
        <v>0</v>
      </c>
      <c r="O176" s="17">
        <f>VLOOKUP(O$100,'Aggregated Median CA data'!$D$126:$M$140,9,0)*$B176</f>
        <v>0</v>
      </c>
      <c r="P176" s="17">
        <f>VLOOKUP(P$100,'Aggregated Median CA data'!$D$126:$M$140,9,0)*$B176</f>
        <v>0</v>
      </c>
      <c r="Q176" s="17">
        <f>VLOOKUP(Q$100,'Aggregated Median CA data'!$D$126:$M$140,9,0)*$B176</f>
        <v>0</v>
      </c>
      <c r="R176" s="17">
        <f>VLOOKUP(R$100,'Aggregated Median CA data'!$D$126:$M$140,9,0)*$B176</f>
        <v>0</v>
      </c>
    </row>
    <row r="177" spans="1:18">
      <c r="A177" s="18">
        <f t="shared" si="44"/>
        <v>2026</v>
      </c>
      <c r="B177" s="24">
        <f t="shared" si="45"/>
        <v>0</v>
      </c>
      <c r="C177" s="22"/>
      <c r="D177" s="22"/>
      <c r="E177" s="17">
        <f>IFERROR((D176/$B176)*$B177,0)</f>
        <v>0</v>
      </c>
      <c r="F177" s="17">
        <f t="shared" ref="F177:R189" si="46">IFERROR((E176/$B176)*$B177,0)</f>
        <v>0</v>
      </c>
      <c r="G177" s="17">
        <f t="shared" si="46"/>
        <v>0</v>
      </c>
      <c r="H177" s="17">
        <f t="shared" si="46"/>
        <v>0</v>
      </c>
      <c r="I177" s="17">
        <f t="shared" si="46"/>
        <v>0</v>
      </c>
      <c r="J177" s="17">
        <f t="shared" si="46"/>
        <v>0</v>
      </c>
      <c r="K177" s="17">
        <f t="shared" si="46"/>
        <v>0</v>
      </c>
      <c r="L177" s="17">
        <f t="shared" si="46"/>
        <v>0</v>
      </c>
      <c r="M177" s="17">
        <f t="shared" si="46"/>
        <v>0</v>
      </c>
      <c r="N177" s="17">
        <f t="shared" si="46"/>
        <v>0</v>
      </c>
      <c r="O177" s="17">
        <f t="shared" si="46"/>
        <v>0</v>
      </c>
      <c r="P177" s="17">
        <f t="shared" si="46"/>
        <v>0</v>
      </c>
      <c r="Q177" s="17">
        <f t="shared" si="46"/>
        <v>0</v>
      </c>
      <c r="R177" s="17">
        <f t="shared" si="46"/>
        <v>0</v>
      </c>
    </row>
    <row r="178" spans="1:18">
      <c r="A178" s="18">
        <f t="shared" si="44"/>
        <v>2027</v>
      </c>
      <c r="B178" s="24">
        <f t="shared" si="45"/>
        <v>0</v>
      </c>
      <c r="C178" s="22"/>
      <c r="D178" s="22"/>
      <c r="E178" s="22"/>
      <c r="F178" s="17">
        <f>IFERROR((E177/$B177)*$B178,0)</f>
        <v>0</v>
      </c>
      <c r="G178" s="17">
        <f t="shared" si="46"/>
        <v>0</v>
      </c>
      <c r="H178" s="17">
        <f t="shared" si="46"/>
        <v>0</v>
      </c>
      <c r="I178" s="17">
        <f t="shared" si="46"/>
        <v>0</v>
      </c>
      <c r="J178" s="17">
        <f t="shared" si="46"/>
        <v>0</v>
      </c>
      <c r="K178" s="17">
        <f t="shared" si="46"/>
        <v>0</v>
      </c>
      <c r="L178" s="17">
        <f t="shared" si="46"/>
        <v>0</v>
      </c>
      <c r="M178" s="17">
        <f t="shared" si="46"/>
        <v>0</v>
      </c>
      <c r="N178" s="17">
        <f t="shared" si="46"/>
        <v>0</v>
      </c>
      <c r="O178" s="17">
        <f t="shared" si="46"/>
        <v>0</v>
      </c>
      <c r="P178" s="17">
        <f t="shared" si="46"/>
        <v>0</v>
      </c>
      <c r="Q178" s="17">
        <f t="shared" si="46"/>
        <v>0</v>
      </c>
      <c r="R178" s="17">
        <f t="shared" si="46"/>
        <v>0</v>
      </c>
    </row>
    <row r="179" spans="1:18">
      <c r="A179" s="18">
        <f t="shared" si="44"/>
        <v>2028</v>
      </c>
      <c r="B179" s="24">
        <f t="shared" si="45"/>
        <v>0</v>
      </c>
      <c r="C179" s="22"/>
      <c r="D179" s="22"/>
      <c r="E179" s="22"/>
      <c r="F179" s="22"/>
      <c r="G179" s="17">
        <f>IFERROR((F178/$B178)*$B179,0)</f>
        <v>0</v>
      </c>
      <c r="H179" s="17">
        <f t="shared" si="46"/>
        <v>0</v>
      </c>
      <c r="I179" s="17">
        <f t="shared" si="46"/>
        <v>0</v>
      </c>
      <c r="J179" s="17">
        <f t="shared" si="46"/>
        <v>0</v>
      </c>
      <c r="K179" s="17">
        <f t="shared" si="46"/>
        <v>0</v>
      </c>
      <c r="L179" s="17">
        <f t="shared" si="46"/>
        <v>0</v>
      </c>
      <c r="M179" s="17">
        <f t="shared" si="46"/>
        <v>0</v>
      </c>
      <c r="N179" s="17">
        <f t="shared" si="46"/>
        <v>0</v>
      </c>
      <c r="O179" s="17">
        <f t="shared" si="46"/>
        <v>0</v>
      </c>
      <c r="P179" s="17">
        <f t="shared" si="46"/>
        <v>0</v>
      </c>
      <c r="Q179" s="17">
        <f t="shared" si="46"/>
        <v>0</v>
      </c>
      <c r="R179" s="17">
        <f t="shared" si="46"/>
        <v>0</v>
      </c>
    </row>
    <row r="180" spans="1:18">
      <c r="A180" s="18">
        <f t="shared" si="44"/>
        <v>2029</v>
      </c>
      <c r="B180" s="24">
        <f t="shared" si="45"/>
        <v>0</v>
      </c>
      <c r="C180" s="22"/>
      <c r="D180" s="22"/>
      <c r="E180" s="22"/>
      <c r="F180" s="22"/>
      <c r="G180" s="22"/>
      <c r="H180" s="17">
        <f>IFERROR((G179/$B179)*$B180,0)</f>
        <v>0</v>
      </c>
      <c r="I180" s="17">
        <f t="shared" si="46"/>
        <v>0</v>
      </c>
      <c r="J180" s="17">
        <f t="shared" si="46"/>
        <v>0</v>
      </c>
      <c r="K180" s="17">
        <f t="shared" si="46"/>
        <v>0</v>
      </c>
      <c r="L180" s="17">
        <f t="shared" si="46"/>
        <v>0</v>
      </c>
      <c r="M180" s="17">
        <f t="shared" si="46"/>
        <v>0</v>
      </c>
      <c r="N180" s="17">
        <f t="shared" si="46"/>
        <v>0</v>
      </c>
      <c r="O180" s="17">
        <f t="shared" si="46"/>
        <v>0</v>
      </c>
      <c r="P180" s="17">
        <f t="shared" si="46"/>
        <v>0</v>
      </c>
      <c r="Q180" s="17">
        <f t="shared" si="46"/>
        <v>0</v>
      </c>
      <c r="R180" s="17">
        <f t="shared" si="46"/>
        <v>0</v>
      </c>
    </row>
    <row r="181" spans="1:18">
      <c r="A181" s="18">
        <f t="shared" si="44"/>
        <v>2030</v>
      </c>
      <c r="B181" s="24">
        <f t="shared" si="45"/>
        <v>0</v>
      </c>
      <c r="C181" s="22"/>
      <c r="D181" s="22"/>
      <c r="E181" s="22"/>
      <c r="F181" s="22"/>
      <c r="G181" s="22"/>
      <c r="H181" s="22"/>
      <c r="I181" s="17">
        <f>IFERROR((H180/$B180)*$B181,0)</f>
        <v>0</v>
      </c>
      <c r="J181" s="17">
        <f t="shared" si="46"/>
        <v>0</v>
      </c>
      <c r="K181" s="17">
        <f t="shared" si="46"/>
        <v>0</v>
      </c>
      <c r="L181" s="17">
        <f t="shared" si="46"/>
        <v>0</v>
      </c>
      <c r="M181" s="17">
        <f t="shared" si="46"/>
        <v>0</v>
      </c>
      <c r="N181" s="17">
        <f t="shared" si="46"/>
        <v>0</v>
      </c>
      <c r="O181" s="17">
        <f t="shared" si="46"/>
        <v>0</v>
      </c>
      <c r="P181" s="17">
        <f t="shared" si="46"/>
        <v>0</v>
      </c>
      <c r="Q181" s="17">
        <f t="shared" si="46"/>
        <v>0</v>
      </c>
      <c r="R181" s="17">
        <f t="shared" si="46"/>
        <v>0</v>
      </c>
    </row>
    <row r="182" spans="1:18">
      <c r="A182" s="18">
        <f t="shared" si="44"/>
        <v>2031</v>
      </c>
      <c r="B182" s="24">
        <f t="shared" si="45"/>
        <v>0</v>
      </c>
      <c r="C182" s="22"/>
      <c r="D182" s="22"/>
      <c r="E182" s="22"/>
      <c r="F182" s="22"/>
      <c r="G182" s="22"/>
      <c r="H182" s="22"/>
      <c r="I182" s="22"/>
      <c r="J182" s="17">
        <f>IFERROR((I181/$B181)*$B182,0)</f>
        <v>0</v>
      </c>
      <c r="K182" s="17">
        <f t="shared" si="46"/>
        <v>0</v>
      </c>
      <c r="L182" s="17">
        <f t="shared" si="46"/>
        <v>0</v>
      </c>
      <c r="M182" s="17">
        <f t="shared" si="46"/>
        <v>0</v>
      </c>
      <c r="N182" s="17">
        <f t="shared" si="46"/>
        <v>0</v>
      </c>
      <c r="O182" s="17">
        <f t="shared" si="46"/>
        <v>0</v>
      </c>
      <c r="P182" s="17">
        <f t="shared" si="46"/>
        <v>0</v>
      </c>
      <c r="Q182" s="17">
        <f t="shared" si="46"/>
        <v>0</v>
      </c>
      <c r="R182" s="17">
        <f t="shared" si="46"/>
        <v>0</v>
      </c>
    </row>
    <row r="183" spans="1:18">
      <c r="A183" s="18">
        <f t="shared" si="44"/>
        <v>2032</v>
      </c>
      <c r="B183" s="24">
        <f t="shared" si="45"/>
        <v>0</v>
      </c>
      <c r="K183" s="17">
        <f>IFERROR((J182/$B182)*$B183,0)</f>
        <v>0</v>
      </c>
      <c r="L183" s="17">
        <f t="shared" si="46"/>
        <v>0</v>
      </c>
      <c r="M183" s="17">
        <f t="shared" si="46"/>
        <v>0</v>
      </c>
      <c r="N183" s="17">
        <f t="shared" si="46"/>
        <v>0</v>
      </c>
      <c r="O183" s="17">
        <f t="shared" si="46"/>
        <v>0</v>
      </c>
      <c r="P183" s="17">
        <f t="shared" si="46"/>
        <v>0</v>
      </c>
      <c r="Q183" s="17">
        <f t="shared" si="46"/>
        <v>0</v>
      </c>
      <c r="R183" s="17">
        <f t="shared" si="46"/>
        <v>0</v>
      </c>
    </row>
    <row r="184" spans="1:18">
      <c r="A184" s="18">
        <f t="shared" si="44"/>
        <v>2033</v>
      </c>
      <c r="B184" s="24">
        <f t="shared" si="45"/>
        <v>0</v>
      </c>
      <c r="L184" s="17">
        <f>IFERROR((K183/$B183)*$B184,0)</f>
        <v>0</v>
      </c>
      <c r="M184" s="17">
        <f t="shared" si="46"/>
        <v>0</v>
      </c>
      <c r="N184" s="17">
        <f t="shared" si="46"/>
        <v>0</v>
      </c>
      <c r="O184" s="17">
        <f t="shared" si="46"/>
        <v>0</v>
      </c>
      <c r="P184" s="17">
        <f t="shared" si="46"/>
        <v>0</v>
      </c>
      <c r="Q184" s="17">
        <f t="shared" si="46"/>
        <v>0</v>
      </c>
      <c r="R184" s="17">
        <f t="shared" si="46"/>
        <v>0</v>
      </c>
    </row>
    <row r="185" spans="1:18">
      <c r="A185" s="18">
        <f t="shared" si="44"/>
        <v>2034</v>
      </c>
      <c r="B185" s="24">
        <f t="shared" si="45"/>
        <v>0</v>
      </c>
      <c r="L185" s="22"/>
      <c r="M185" s="17">
        <f>IFERROR((L184/$B184)*$B185,0)</f>
        <v>0</v>
      </c>
      <c r="N185" s="17">
        <f t="shared" si="46"/>
        <v>0</v>
      </c>
      <c r="O185" s="17">
        <f t="shared" si="46"/>
        <v>0</v>
      </c>
      <c r="P185" s="17">
        <f t="shared" si="46"/>
        <v>0</v>
      </c>
      <c r="Q185" s="17">
        <f t="shared" si="46"/>
        <v>0</v>
      </c>
      <c r="R185" s="17">
        <f t="shared" si="46"/>
        <v>0</v>
      </c>
    </row>
    <row r="186" spans="1:18">
      <c r="A186" s="18">
        <f t="shared" si="44"/>
        <v>2035</v>
      </c>
      <c r="B186" s="24">
        <f t="shared" si="45"/>
        <v>0</v>
      </c>
      <c r="N186" s="17">
        <f>IFERROR((M185/$B185)*$B186,0)</f>
        <v>0</v>
      </c>
      <c r="O186" s="17">
        <f t="shared" si="46"/>
        <v>0</v>
      </c>
      <c r="P186" s="17">
        <f t="shared" si="46"/>
        <v>0</v>
      </c>
      <c r="Q186" s="17">
        <f t="shared" si="46"/>
        <v>0</v>
      </c>
      <c r="R186" s="17">
        <f t="shared" si="46"/>
        <v>0</v>
      </c>
    </row>
    <row r="187" spans="1:18">
      <c r="A187" s="18">
        <f t="shared" si="44"/>
        <v>2036</v>
      </c>
      <c r="B187" s="24">
        <f t="shared" si="45"/>
        <v>0</v>
      </c>
      <c r="O187" s="17">
        <f>IFERROR((N186/$B186)*$B187,0)</f>
        <v>0</v>
      </c>
      <c r="P187" s="17">
        <f t="shared" si="46"/>
        <v>0</v>
      </c>
      <c r="Q187" s="17">
        <f t="shared" si="46"/>
        <v>0</v>
      </c>
      <c r="R187" s="17">
        <f t="shared" si="46"/>
        <v>0</v>
      </c>
    </row>
    <row r="188" spans="1:18">
      <c r="A188" s="18">
        <f t="shared" si="44"/>
        <v>2037</v>
      </c>
      <c r="B188" s="24">
        <f t="shared" si="45"/>
        <v>0</v>
      </c>
      <c r="P188" s="17">
        <f>IFERROR((O187/$B187)*$B188,0)</f>
        <v>0</v>
      </c>
      <c r="Q188" s="17">
        <f t="shared" si="46"/>
        <v>0</v>
      </c>
      <c r="R188" s="17">
        <f t="shared" si="46"/>
        <v>0</v>
      </c>
    </row>
    <row r="189" spans="1:18">
      <c r="A189" s="18">
        <f t="shared" si="44"/>
        <v>2038</v>
      </c>
      <c r="B189" s="24">
        <f t="shared" si="45"/>
        <v>0</v>
      </c>
      <c r="Q189" s="17">
        <f>IFERROR((P188/$B188)*$B189,0)</f>
        <v>0</v>
      </c>
      <c r="R189" s="17">
        <f t="shared" si="46"/>
        <v>0</v>
      </c>
    </row>
    <row r="190" spans="1:18">
      <c r="A190" s="18">
        <f t="shared" si="44"/>
        <v>2039</v>
      </c>
      <c r="B190" s="24">
        <f t="shared" si="45"/>
        <v>0</v>
      </c>
      <c r="R190" s="17">
        <f>IFERROR((Q189/$B189)*$B190,0)</f>
        <v>0</v>
      </c>
    </row>
    <row r="191" spans="1:18">
      <c r="R191" s="17"/>
    </row>
    <row r="192" spans="1:18">
      <c r="A192" s="21" t="s">
        <v>33</v>
      </c>
      <c r="C192" s="20"/>
      <c r="D192" s="20">
        <f>SUM(D176:D190)</f>
        <v>0</v>
      </c>
      <c r="E192" s="20">
        <f t="shared" ref="E192:R192" si="47">SUM(E176:E190)</f>
        <v>0</v>
      </c>
      <c r="F192" s="20">
        <f t="shared" si="47"/>
        <v>0</v>
      </c>
      <c r="G192" s="20">
        <f t="shared" si="47"/>
        <v>0</v>
      </c>
      <c r="H192" s="20">
        <f t="shared" si="47"/>
        <v>0</v>
      </c>
      <c r="I192" s="20">
        <f t="shared" si="47"/>
        <v>0</v>
      </c>
      <c r="J192" s="20">
        <f t="shared" si="47"/>
        <v>0</v>
      </c>
      <c r="K192" s="20">
        <f t="shared" si="47"/>
        <v>0</v>
      </c>
      <c r="L192" s="20">
        <f t="shared" si="47"/>
        <v>0</v>
      </c>
      <c r="M192" s="20">
        <f t="shared" si="47"/>
        <v>0</v>
      </c>
      <c r="N192" s="20">
        <f t="shared" si="47"/>
        <v>0</v>
      </c>
      <c r="O192" s="20">
        <f t="shared" si="47"/>
        <v>0</v>
      </c>
      <c r="P192" s="20">
        <f t="shared" si="47"/>
        <v>0</v>
      </c>
      <c r="Q192" s="20">
        <f t="shared" si="47"/>
        <v>0</v>
      </c>
      <c r="R192" s="20">
        <f t="shared" si="47"/>
        <v>0</v>
      </c>
    </row>
    <row r="193" spans="1:18">
      <c r="A193" s="21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>
      <c r="A194" s="21" t="s">
        <v>307</v>
      </c>
      <c r="C194" s="20"/>
      <c r="D194" s="20">
        <f>SUM(D192,D94,D70,D46)</f>
        <v>-10000000</v>
      </c>
      <c r="E194" s="20">
        <f t="shared" ref="E194:R194" si="48">SUM(E192,E94,E70,E46)</f>
        <v>0</v>
      </c>
      <c r="F194" s="20">
        <f t="shared" si="48"/>
        <v>0</v>
      </c>
      <c r="G194" s="20">
        <f t="shared" si="48"/>
        <v>0</v>
      </c>
      <c r="H194" s="20">
        <f t="shared" si="48"/>
        <v>0</v>
      </c>
      <c r="I194" s="20">
        <f t="shared" si="48"/>
        <v>0</v>
      </c>
      <c r="J194" s="20">
        <f t="shared" si="48"/>
        <v>0</v>
      </c>
      <c r="K194" s="20">
        <f t="shared" si="48"/>
        <v>0</v>
      </c>
      <c r="L194" s="20">
        <f t="shared" si="48"/>
        <v>0</v>
      </c>
      <c r="M194" s="20">
        <f t="shared" si="48"/>
        <v>0</v>
      </c>
      <c r="N194" s="20">
        <f t="shared" si="48"/>
        <v>0</v>
      </c>
      <c r="O194" s="20">
        <f t="shared" si="48"/>
        <v>0</v>
      </c>
      <c r="P194" s="20">
        <f t="shared" si="48"/>
        <v>0</v>
      </c>
      <c r="Q194" s="20">
        <f t="shared" si="48"/>
        <v>0</v>
      </c>
      <c r="R194" s="20">
        <f t="shared" si="48"/>
        <v>0</v>
      </c>
    </row>
    <row r="195" spans="1:18">
      <c r="R195" s="17"/>
    </row>
    <row r="196" spans="1:18">
      <c r="A196" s="21" t="s">
        <v>37</v>
      </c>
      <c r="C196" s="20"/>
      <c r="D196" s="20">
        <f>SUM($D$194:D194)</f>
        <v>-10000000</v>
      </c>
      <c r="E196" s="20">
        <f>SUM($D$194:E194)</f>
        <v>-10000000</v>
      </c>
      <c r="F196" s="20">
        <f>SUM($D$194:F194)</f>
        <v>-10000000</v>
      </c>
      <c r="G196" s="20">
        <f>SUM($D$194:G194)</f>
        <v>-10000000</v>
      </c>
      <c r="H196" s="20">
        <f>SUM($D$194:H194)</f>
        <v>-10000000</v>
      </c>
      <c r="I196" s="20">
        <f>SUM($D$194:I194)</f>
        <v>-10000000</v>
      </c>
      <c r="J196" s="20">
        <f>SUM($D$194:J194)</f>
        <v>-10000000</v>
      </c>
      <c r="K196" s="20">
        <f>SUM($D$194:K194)</f>
        <v>-10000000</v>
      </c>
      <c r="L196" s="20">
        <f>SUM($D$194:L194)</f>
        <v>-10000000</v>
      </c>
      <c r="M196" s="20">
        <f>SUM($D$194:M194)</f>
        <v>-10000000</v>
      </c>
      <c r="N196" s="20">
        <f>SUM($D$194:N194)</f>
        <v>-10000000</v>
      </c>
      <c r="O196" s="20">
        <f>SUM($D$194:O194)</f>
        <v>-10000000</v>
      </c>
      <c r="P196" s="20">
        <f>SUM($D$194:P194)</f>
        <v>-10000000</v>
      </c>
      <c r="Q196" s="20">
        <f>SUM($D$194:Q194)</f>
        <v>-10000000</v>
      </c>
      <c r="R196" s="20">
        <f>SUM($D$194:R194)</f>
        <v>-10000000</v>
      </c>
    </row>
    <row r="200" spans="1:18" ht="12" thickBot="1"/>
    <row r="201" spans="1:18">
      <c r="C201" s="69" t="s">
        <v>64</v>
      </c>
      <c r="D201" s="70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2"/>
    </row>
    <row r="202" spans="1:18">
      <c r="C202" s="73"/>
      <c r="D202" s="74" t="s">
        <v>6</v>
      </c>
      <c r="E202" s="74" t="s">
        <v>7</v>
      </c>
      <c r="F202" s="74" t="s">
        <v>8</v>
      </c>
      <c r="G202" s="74" t="s">
        <v>9</v>
      </c>
      <c r="H202" s="74" t="s">
        <v>10</v>
      </c>
      <c r="I202" s="74" t="s">
        <v>11</v>
      </c>
      <c r="J202" s="74" t="s">
        <v>12</v>
      </c>
      <c r="K202" s="74" t="s">
        <v>13</v>
      </c>
      <c r="L202" s="74" t="s">
        <v>14</v>
      </c>
      <c r="M202" s="74" t="s">
        <v>15</v>
      </c>
      <c r="N202" s="74" t="s">
        <v>16</v>
      </c>
      <c r="O202" s="74" t="s">
        <v>17</v>
      </c>
      <c r="P202" s="74" t="s">
        <v>18</v>
      </c>
      <c r="Q202" s="74" t="s">
        <v>19</v>
      </c>
      <c r="R202" s="75" t="s">
        <v>20</v>
      </c>
    </row>
    <row r="203" spans="1:18">
      <c r="C203" s="76" t="s">
        <v>38</v>
      </c>
      <c r="D203" s="77">
        <f>D146/1000000</f>
        <v>-10</v>
      </c>
      <c r="E203" s="77">
        <f>E146/1000000</f>
        <v>0</v>
      </c>
      <c r="F203" s="77">
        <f t="shared" ref="E203:R203" si="49">F146/1000000</f>
        <v>0</v>
      </c>
      <c r="G203" s="77">
        <f t="shared" si="49"/>
        <v>0</v>
      </c>
      <c r="H203" s="77">
        <f t="shared" si="49"/>
        <v>0</v>
      </c>
      <c r="I203" s="77">
        <f t="shared" si="49"/>
        <v>0</v>
      </c>
      <c r="J203" s="77">
        <f t="shared" si="49"/>
        <v>0</v>
      </c>
      <c r="K203" s="77">
        <f t="shared" si="49"/>
        <v>0</v>
      </c>
      <c r="L203" s="77">
        <f t="shared" si="49"/>
        <v>0</v>
      </c>
      <c r="M203" s="77">
        <f t="shared" si="49"/>
        <v>0</v>
      </c>
      <c r="N203" s="77">
        <f t="shared" si="49"/>
        <v>0</v>
      </c>
      <c r="O203" s="77">
        <f t="shared" si="49"/>
        <v>0</v>
      </c>
      <c r="P203" s="77">
        <f t="shared" si="49"/>
        <v>0</v>
      </c>
      <c r="Q203" s="77">
        <f t="shared" si="49"/>
        <v>0</v>
      </c>
      <c r="R203" s="78">
        <f t="shared" si="49"/>
        <v>0</v>
      </c>
    </row>
    <row r="204" spans="1:18">
      <c r="C204" s="76" t="s">
        <v>39</v>
      </c>
      <c r="D204" s="77">
        <f>D170/1000000</f>
        <v>0</v>
      </c>
      <c r="E204" s="77">
        <f t="shared" ref="E204:R204" si="50">E170/1000000</f>
        <v>0</v>
      </c>
      <c r="F204" s="77">
        <f t="shared" si="50"/>
        <v>0</v>
      </c>
      <c r="G204" s="77">
        <f t="shared" si="50"/>
        <v>0</v>
      </c>
      <c r="H204" s="77">
        <f t="shared" si="50"/>
        <v>0</v>
      </c>
      <c r="I204" s="77">
        <f t="shared" si="50"/>
        <v>0</v>
      </c>
      <c r="J204" s="77">
        <f t="shared" si="50"/>
        <v>0</v>
      </c>
      <c r="K204" s="77">
        <f t="shared" si="50"/>
        <v>0</v>
      </c>
      <c r="L204" s="77">
        <f t="shared" si="50"/>
        <v>0</v>
      </c>
      <c r="M204" s="77">
        <f t="shared" si="50"/>
        <v>0</v>
      </c>
      <c r="N204" s="77">
        <f t="shared" si="50"/>
        <v>0</v>
      </c>
      <c r="O204" s="77">
        <f t="shared" si="50"/>
        <v>0</v>
      </c>
      <c r="P204" s="77">
        <f t="shared" si="50"/>
        <v>0</v>
      </c>
      <c r="Q204" s="77">
        <f t="shared" si="50"/>
        <v>0</v>
      </c>
      <c r="R204" s="78">
        <f t="shared" si="50"/>
        <v>0</v>
      </c>
    </row>
    <row r="205" spans="1:18" ht="12" thickBot="1">
      <c r="C205" s="79" t="s">
        <v>66</v>
      </c>
      <c r="D205" s="80">
        <f>D194/1000000</f>
        <v>-10</v>
      </c>
      <c r="E205" s="80">
        <f>E194/1000000</f>
        <v>0</v>
      </c>
      <c r="F205" s="80">
        <f t="shared" ref="F205:R205" si="51">F194/1000000</f>
        <v>0</v>
      </c>
      <c r="G205" s="80">
        <f t="shared" si="51"/>
        <v>0</v>
      </c>
      <c r="H205" s="80">
        <f t="shared" si="51"/>
        <v>0</v>
      </c>
      <c r="I205" s="80">
        <f t="shared" si="51"/>
        <v>0</v>
      </c>
      <c r="J205" s="80">
        <f t="shared" si="51"/>
        <v>0</v>
      </c>
      <c r="K205" s="80">
        <f t="shared" si="51"/>
        <v>0</v>
      </c>
      <c r="L205" s="80">
        <f t="shared" si="51"/>
        <v>0</v>
      </c>
      <c r="M205" s="80">
        <f t="shared" si="51"/>
        <v>0</v>
      </c>
      <c r="N205" s="80">
        <f t="shared" si="51"/>
        <v>0</v>
      </c>
      <c r="O205" s="80">
        <f t="shared" si="51"/>
        <v>0</v>
      </c>
      <c r="P205" s="80">
        <f t="shared" si="51"/>
        <v>0</v>
      </c>
      <c r="Q205" s="80">
        <f t="shared" si="51"/>
        <v>0</v>
      </c>
      <c r="R205" s="81">
        <f t="shared" si="51"/>
        <v>0</v>
      </c>
    </row>
    <row r="206" spans="1:18" ht="12" thickBot="1"/>
    <row r="207" spans="1:18">
      <c r="C207" s="69" t="s">
        <v>65</v>
      </c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2"/>
    </row>
    <row r="208" spans="1:18">
      <c r="C208" s="76" t="s">
        <v>295</v>
      </c>
      <c r="D208" s="77">
        <f t="shared" ref="D208:R208" si="52">D119/1000000</f>
        <v>10.939000000000002</v>
      </c>
      <c r="E208" s="77">
        <f t="shared" si="52"/>
        <v>11.966172100000003</v>
      </c>
      <c r="F208" s="77">
        <f t="shared" si="52"/>
        <v>13.089795660190005</v>
      </c>
      <c r="G208" s="77">
        <f t="shared" si="52"/>
        <v>14.318927472681848</v>
      </c>
      <c r="H208" s="77">
        <f t="shared" si="52"/>
        <v>15.663474762366675</v>
      </c>
      <c r="I208" s="77">
        <f t="shared" si="52"/>
        <v>17.134275042552908</v>
      </c>
      <c r="J208" s="77">
        <f t="shared" si="52"/>
        <v>18.743183469048628</v>
      </c>
      <c r="K208" s="77">
        <f t="shared" si="52"/>
        <v>20.503168396792297</v>
      </c>
      <c r="L208" s="77">
        <f t="shared" si="52"/>
        <v>22.428415909251093</v>
      </c>
      <c r="M208" s="77">
        <f t="shared" si="52"/>
        <v>24.534444163129773</v>
      </c>
      <c r="N208" s="77">
        <f t="shared" si="52"/>
        <v>26.83822847004766</v>
      </c>
      <c r="O208" s="77">
        <f t="shared" si="52"/>
        <v>29.358338123385138</v>
      </c>
      <c r="P208" s="77">
        <f t="shared" si="52"/>
        <v>32.115086073171007</v>
      </c>
      <c r="Q208" s="77">
        <f t="shared" si="52"/>
        <v>35.13069265544177</v>
      </c>
      <c r="R208" s="78">
        <f t="shared" si="52"/>
        <v>38.42946469578775</v>
      </c>
    </row>
    <row r="209" spans="3:18" ht="12" thickBot="1">
      <c r="C209" s="79" t="s">
        <v>68</v>
      </c>
      <c r="D209" s="80">
        <f>-SUM($D$205:D205)</f>
        <v>10</v>
      </c>
      <c r="E209" s="80">
        <f>-SUM($D$205:E205)</f>
        <v>10</v>
      </c>
      <c r="F209" s="80">
        <f>-SUM($D$205:F205)</f>
        <v>10</v>
      </c>
      <c r="G209" s="80">
        <f>-SUM($D$205:G205)</f>
        <v>10</v>
      </c>
      <c r="H209" s="80">
        <f>-SUM($D$205:H205)</f>
        <v>10</v>
      </c>
      <c r="I209" s="80">
        <f>-SUM($D$205:I205)</f>
        <v>10</v>
      </c>
      <c r="J209" s="80">
        <f>-SUM($D$205:J205)</f>
        <v>10</v>
      </c>
      <c r="K209" s="80">
        <f>-SUM($D$205:K205)</f>
        <v>10</v>
      </c>
      <c r="L209" s="80">
        <f>-SUM($D$205:L205)</f>
        <v>10</v>
      </c>
      <c r="M209" s="80">
        <f>-SUM($D$205:M205)</f>
        <v>10</v>
      </c>
      <c r="N209" s="80">
        <f>-SUM($D$205:N205)</f>
        <v>10</v>
      </c>
      <c r="O209" s="80">
        <f>-SUM($D$205:O205)</f>
        <v>10</v>
      </c>
      <c r="P209" s="80">
        <f>-SUM($D$205:P205)</f>
        <v>10</v>
      </c>
      <c r="Q209" s="80">
        <f>-SUM($D$205:Q205)</f>
        <v>10</v>
      </c>
      <c r="R209" s="81">
        <f>-SUM($D$205:R205)</f>
        <v>10</v>
      </c>
    </row>
    <row r="210" spans="3:18">
      <c r="R210" s="17"/>
    </row>
    <row r="211" spans="3:18">
      <c r="C211" s="17" t="s">
        <v>296</v>
      </c>
      <c r="D211" s="17">
        <f>D123*$E$4</f>
        <v>10</v>
      </c>
      <c r="E211" s="17">
        <f t="shared" ref="E211:R211" si="53">E123*$E$4</f>
        <v>10.64</v>
      </c>
      <c r="F211" s="17">
        <f t="shared" si="53"/>
        <v>11.320959999999999</v>
      </c>
      <c r="G211" s="17">
        <f t="shared" si="53"/>
        <v>12.045501440000001</v>
      </c>
      <c r="H211" s="17">
        <f t="shared" si="53"/>
        <v>12.816413532160002</v>
      </c>
      <c r="I211" s="17">
        <f t="shared" si="53"/>
        <v>13.636663998218244</v>
      </c>
      <c r="J211" s="17">
        <f t="shared" si="53"/>
        <v>14.509410494104213</v>
      </c>
      <c r="K211" s="17">
        <f t="shared" si="53"/>
        <v>15.438012765726883</v>
      </c>
      <c r="L211" s="17">
        <f t="shared" si="53"/>
        <v>16.426045582733405</v>
      </c>
      <c r="M211" s="17">
        <f t="shared" si="53"/>
        <v>17.477312500028344</v>
      </c>
      <c r="N211" s="17">
        <f t="shared" si="53"/>
        <v>18.595860500030156</v>
      </c>
      <c r="O211" s="17">
        <f t="shared" si="53"/>
        <v>19.785995572032085</v>
      </c>
      <c r="P211" s="17">
        <f t="shared" si="53"/>
        <v>21.052299288642143</v>
      </c>
      <c r="Q211" s="17">
        <f t="shared" si="53"/>
        <v>22.399646443115241</v>
      </c>
      <c r="R211" s="17">
        <f t="shared" si="53"/>
        <v>23.833223815474618</v>
      </c>
    </row>
    <row r="212" spans="3:18">
      <c r="R212" s="17"/>
    </row>
    <row r="213" spans="3:18">
      <c r="C213" s="17" t="s">
        <v>67</v>
      </c>
      <c r="D213" s="83">
        <f>D208/D123</f>
        <v>1.0939000000000001</v>
      </c>
      <c r="E213" s="83">
        <f t="shared" ref="E213:R213" si="54">E208/E123</f>
        <v>1.1246402349624063</v>
      </c>
      <c r="F213" s="83">
        <f t="shared" si="54"/>
        <v>1.1562443167531733</v>
      </c>
      <c r="G213" s="83">
        <f t="shared" si="54"/>
        <v>1.1887365207671958</v>
      </c>
      <c r="H213" s="83">
        <f t="shared" si="54"/>
        <v>1.2221418045744694</v>
      </c>
      <c r="I213" s="83">
        <f t="shared" si="54"/>
        <v>1.2564858270902368</v>
      </c>
      <c r="J213" s="83">
        <f t="shared" si="54"/>
        <v>1.2917949682838441</v>
      </c>
      <c r="K213" s="83">
        <f t="shared" si="54"/>
        <v>1.3280963494414448</v>
      </c>
      <c r="L213" s="83">
        <f t="shared" si="54"/>
        <v>1.365417853998117</v>
      </c>
      <c r="M213" s="83">
        <f t="shared" si="54"/>
        <v>1.4037881489553949</v>
      </c>
      <c r="N213" s="83">
        <f t="shared" si="54"/>
        <v>1.4432367069006642</v>
      </c>
      <c r="O213" s="83">
        <f t="shared" si="54"/>
        <v>1.4837938286453352</v>
      </c>
      <c r="P213" s="83">
        <f t="shared" si="54"/>
        <v>1.5254906664991843</v>
      </c>
      <c r="Q213" s="83">
        <f t="shared" si="54"/>
        <v>1.5683592481987387</v>
      </c>
      <c r="R213" s="83">
        <f t="shared" si="54"/>
        <v>1.6124325015080827</v>
      </c>
    </row>
    <row r="215" spans="3:18">
      <c r="C215" s="17" t="s">
        <v>308</v>
      </c>
      <c r="D215" s="136">
        <f>(D208+(D172/1000000))/($B$4/1000000)</f>
        <v>1.0939000000000001</v>
      </c>
      <c r="E215" s="136">
        <f>(E208+(E172/1000000))/($B$4/1000000)</f>
        <v>1.1966172100000003</v>
      </c>
      <c r="F215" s="136">
        <f t="shared" ref="F215:Q215" si="55">(F208+(F172/1000000))/($B$4/1000000)</f>
        <v>1.3089795660190005</v>
      </c>
      <c r="G215" s="136">
        <f t="shared" si="55"/>
        <v>1.4318927472681848</v>
      </c>
      <c r="H215" s="136">
        <f t="shared" si="55"/>
        <v>1.5663474762366676</v>
      </c>
      <c r="I215" s="136">
        <f t="shared" si="55"/>
        <v>1.7134275042552907</v>
      </c>
      <c r="J215" s="136">
        <f t="shared" si="55"/>
        <v>1.8743183469048628</v>
      </c>
      <c r="K215" s="136">
        <f t="shared" si="55"/>
        <v>2.0503168396792297</v>
      </c>
      <c r="L215" s="136">
        <f t="shared" si="55"/>
        <v>2.2428415909251092</v>
      </c>
      <c r="M215" s="136">
        <f t="shared" si="55"/>
        <v>2.4534444163129772</v>
      </c>
      <c r="N215" s="136">
        <f t="shared" si="55"/>
        <v>2.683822847004766</v>
      </c>
      <c r="O215" s="136">
        <f t="shared" si="55"/>
        <v>2.9358338123385139</v>
      </c>
      <c r="P215" s="136">
        <f t="shared" si="55"/>
        <v>3.2115086073171009</v>
      </c>
      <c r="Q215" s="136">
        <f t="shared" si="55"/>
        <v>3.5130692655441771</v>
      </c>
      <c r="R215" s="136">
        <f>(R208+(R172/1000000))/($B$4/1000000)</f>
        <v>3.8429464695787749</v>
      </c>
    </row>
  </sheetData>
  <conditionalFormatting sqref="O12">
    <cfRule type="cellIs" dxfId="2" priority="1" operator="notEqual">
      <formula>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71FF-FBE3-4B69-BC94-4493FCC78064}">
  <sheetPr codeName="Sheet18">
    <tabColor theme="4"/>
  </sheetPr>
  <dimension ref="A1:W215"/>
  <sheetViews>
    <sheetView topLeftCell="S1" zoomScaleNormal="100" workbookViewId="0">
      <selection activeCell="D28" sqref="D28:N30"/>
    </sheetView>
  </sheetViews>
  <sheetFormatPr defaultColWidth="9.140625" defaultRowHeight="11.25"/>
  <cols>
    <col min="1" max="1" width="45.42578125" style="19" customWidth="1"/>
    <col min="2" max="2" width="13.85546875" style="19" bestFit="1" customWidth="1"/>
    <col min="3" max="3" width="18.5703125" style="17" customWidth="1"/>
    <col min="4" max="4" width="13.5703125" style="17" bestFit="1" customWidth="1"/>
    <col min="5" max="5" width="14.7109375" style="17" bestFit="1" customWidth="1"/>
    <col min="6" max="6" width="15.140625" style="17" bestFit="1" customWidth="1"/>
    <col min="7" max="7" width="13.85546875" style="17" bestFit="1" customWidth="1"/>
    <col min="8" max="8" width="15.140625" style="17" bestFit="1" customWidth="1"/>
    <col min="9" max="10" width="15.42578125" style="17" bestFit="1" customWidth="1"/>
    <col min="11" max="17" width="15.42578125" style="17" customWidth="1"/>
    <col min="18" max="18" width="18.28515625" style="19" customWidth="1"/>
    <col min="19" max="16384" width="9.140625" style="3"/>
  </cols>
  <sheetData>
    <row r="1" spans="1:23">
      <c r="A1" s="7" t="s">
        <v>41</v>
      </c>
      <c r="B1" s="25">
        <v>6.0999999999999999E-2</v>
      </c>
      <c r="C1" s="1"/>
      <c r="D1" s="1"/>
      <c r="E1" s="53"/>
      <c r="F1" s="4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</row>
    <row r="2" spans="1:23">
      <c r="A2" s="1"/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</row>
    <row r="3" spans="1:23" ht="33.75">
      <c r="A3" s="2" t="s">
        <v>5</v>
      </c>
      <c r="B3" s="40" t="s">
        <v>44</v>
      </c>
      <c r="C3" s="36" t="s">
        <v>43</v>
      </c>
      <c r="D3" s="35" t="s">
        <v>4</v>
      </c>
      <c r="E3" s="35" t="s">
        <v>28</v>
      </c>
      <c r="F3" s="35" t="s">
        <v>29</v>
      </c>
      <c r="G3" s="1"/>
      <c r="H3" s="122" t="s">
        <v>303</v>
      </c>
      <c r="I3" s="123" t="s">
        <v>297</v>
      </c>
      <c r="J3" s="1"/>
      <c r="K3" s="127" t="s">
        <v>304</v>
      </c>
      <c r="L3" s="128" t="s">
        <v>305</v>
      </c>
      <c r="M3" s="1"/>
      <c r="N3" s="115" t="s">
        <v>301</v>
      </c>
      <c r="O3" s="116" t="s">
        <v>45</v>
      </c>
      <c r="P3" s="1"/>
      <c r="Q3" s="1"/>
      <c r="R3" s="1"/>
      <c r="S3" s="1"/>
      <c r="T3" s="1"/>
      <c r="U3" s="1"/>
      <c r="V3" s="1"/>
      <c r="W3" s="1"/>
    </row>
    <row r="4" spans="1:23">
      <c r="A4" s="30">
        <v>2024</v>
      </c>
      <c r="B4" s="23">
        <v>10000000</v>
      </c>
      <c r="C4" s="23">
        <v>0</v>
      </c>
      <c r="D4" s="31">
        <f>SUM(B4:C4)</f>
        <v>10000000</v>
      </c>
      <c r="E4" s="54">
        <v>1</v>
      </c>
      <c r="F4" s="1">
        <f t="shared" ref="F4:F18" si="0">D4*E4</f>
        <v>10000000</v>
      </c>
      <c r="G4" s="1"/>
      <c r="H4" s="124">
        <v>0</v>
      </c>
      <c r="I4" s="125">
        <v>0.1</v>
      </c>
      <c r="J4" s="1"/>
      <c r="K4" s="129">
        <v>0</v>
      </c>
      <c r="L4" s="130">
        <v>6.0999999999999999E-2</v>
      </c>
      <c r="M4" s="1"/>
      <c r="N4" s="117" t="s">
        <v>21</v>
      </c>
      <c r="O4" s="118">
        <v>1</v>
      </c>
      <c r="P4" s="47"/>
      <c r="Q4" s="14"/>
      <c r="R4" s="14"/>
      <c r="S4" s="14"/>
      <c r="T4" s="14"/>
      <c r="U4" s="14"/>
      <c r="V4" s="14"/>
      <c r="W4" s="14"/>
    </row>
    <row r="5" spans="1:23">
      <c r="A5" s="2">
        <f t="shared" ref="A5:A18" si="1">A4+1</f>
        <v>2025</v>
      </c>
      <c r="B5" s="26"/>
      <c r="C5" s="23"/>
      <c r="D5" s="31">
        <f>(D4*(1+$B$1))+C5</f>
        <v>10610000</v>
      </c>
      <c r="E5" s="55">
        <f>E4</f>
        <v>1</v>
      </c>
      <c r="F5" s="1">
        <f t="shared" si="0"/>
        <v>10610000</v>
      </c>
      <c r="G5" s="1"/>
      <c r="H5" s="124">
        <v>0</v>
      </c>
      <c r="I5" s="126"/>
      <c r="J5" s="1"/>
      <c r="K5" s="129">
        <v>0</v>
      </c>
      <c r="L5" s="131"/>
      <c r="M5" s="1"/>
      <c r="N5" s="117" t="s">
        <v>27</v>
      </c>
      <c r="O5" s="118">
        <v>0</v>
      </c>
      <c r="P5" s="1"/>
      <c r="Q5" s="1"/>
      <c r="R5" s="1"/>
      <c r="S5" s="1"/>
      <c r="T5" s="1"/>
      <c r="U5" s="1"/>
      <c r="V5" s="1"/>
      <c r="W5" s="1"/>
    </row>
    <row r="6" spans="1:23">
      <c r="A6" s="2">
        <f t="shared" si="1"/>
        <v>2026</v>
      </c>
      <c r="B6" s="26"/>
      <c r="C6" s="23"/>
      <c r="D6" s="31">
        <f t="shared" ref="D6:D18" si="2">(D5*(1+$B$1))+C6</f>
        <v>11257210</v>
      </c>
      <c r="E6" s="55">
        <f t="shared" ref="E6:E18" si="3">E5</f>
        <v>1</v>
      </c>
      <c r="F6" s="1">
        <f t="shared" si="0"/>
        <v>11257210</v>
      </c>
      <c r="G6" s="1"/>
      <c r="H6" s="124">
        <v>0</v>
      </c>
      <c r="I6" s="126"/>
      <c r="J6" s="1"/>
      <c r="K6" s="129">
        <v>0</v>
      </c>
      <c r="L6" s="131"/>
      <c r="M6" s="1"/>
      <c r="N6" s="117" t="s">
        <v>49</v>
      </c>
      <c r="O6" s="118">
        <v>0</v>
      </c>
      <c r="P6" s="1"/>
      <c r="Q6" s="1"/>
      <c r="R6" s="1"/>
      <c r="S6" s="1"/>
      <c r="T6" s="1"/>
      <c r="U6" s="1"/>
      <c r="V6" s="1"/>
      <c r="W6" s="1"/>
    </row>
    <row r="7" spans="1:23">
      <c r="A7" s="2">
        <f t="shared" si="1"/>
        <v>2027</v>
      </c>
      <c r="B7" s="26"/>
      <c r="C7" s="23"/>
      <c r="D7" s="31">
        <f t="shared" si="2"/>
        <v>11943899.809999999</v>
      </c>
      <c r="E7" s="55">
        <f t="shared" si="3"/>
        <v>1</v>
      </c>
      <c r="F7" s="1">
        <f t="shared" si="0"/>
        <v>11943899.809999999</v>
      </c>
      <c r="G7" s="1"/>
      <c r="H7" s="124">
        <v>0</v>
      </c>
      <c r="I7" s="126"/>
      <c r="J7" s="1"/>
      <c r="K7" s="129">
        <v>0</v>
      </c>
      <c r="L7" s="131"/>
      <c r="M7" s="1"/>
      <c r="N7" s="117" t="s">
        <v>50</v>
      </c>
      <c r="O7" s="118">
        <v>0</v>
      </c>
      <c r="P7" s="1"/>
      <c r="Q7" s="1"/>
      <c r="R7" s="1"/>
      <c r="S7" s="1"/>
      <c r="T7" s="1"/>
      <c r="U7" s="1"/>
      <c r="V7" s="1"/>
      <c r="W7" s="1"/>
    </row>
    <row r="8" spans="1:23">
      <c r="A8" s="2">
        <f t="shared" si="1"/>
        <v>2028</v>
      </c>
      <c r="B8" s="26"/>
      <c r="C8" s="23"/>
      <c r="D8" s="31">
        <f t="shared" si="2"/>
        <v>12672477.698409999</v>
      </c>
      <c r="E8" s="55">
        <f t="shared" si="3"/>
        <v>1</v>
      </c>
      <c r="F8" s="1">
        <f t="shared" si="0"/>
        <v>12672477.698409999</v>
      </c>
      <c r="G8" s="1"/>
      <c r="H8" s="124">
        <v>0</v>
      </c>
      <c r="I8" s="126"/>
      <c r="J8" s="1"/>
      <c r="K8" s="129">
        <v>0</v>
      </c>
      <c r="L8" s="131"/>
      <c r="M8" s="1"/>
      <c r="N8" s="117" t="s">
        <v>51</v>
      </c>
      <c r="O8" s="118">
        <v>0</v>
      </c>
      <c r="P8" s="1"/>
      <c r="Q8" s="1"/>
      <c r="R8" s="1"/>
      <c r="S8" s="1"/>
      <c r="T8" s="1"/>
      <c r="U8" s="1"/>
      <c r="V8" s="1"/>
      <c r="W8" s="1"/>
    </row>
    <row r="9" spans="1:23">
      <c r="A9" s="2">
        <f t="shared" si="1"/>
        <v>2029</v>
      </c>
      <c r="B9" s="26"/>
      <c r="C9" s="23"/>
      <c r="D9" s="31">
        <f t="shared" si="2"/>
        <v>13445498.838013008</v>
      </c>
      <c r="E9" s="55">
        <f t="shared" si="3"/>
        <v>1</v>
      </c>
      <c r="F9" s="1">
        <f t="shared" si="0"/>
        <v>13445498.838013008</v>
      </c>
      <c r="G9" s="1"/>
      <c r="H9" s="124">
        <v>0</v>
      </c>
      <c r="I9" s="126"/>
      <c r="J9" s="1"/>
      <c r="K9" s="129">
        <v>0</v>
      </c>
      <c r="L9" s="131"/>
      <c r="M9" s="1"/>
      <c r="N9" s="117" t="s">
        <v>40</v>
      </c>
      <c r="O9" s="118">
        <v>0</v>
      </c>
      <c r="P9" s="1"/>
      <c r="Q9" s="1"/>
      <c r="R9" s="1"/>
      <c r="S9" s="1"/>
      <c r="T9" s="1"/>
      <c r="U9" s="1"/>
      <c r="V9" s="1"/>
      <c r="W9" s="1"/>
    </row>
    <row r="10" spans="1:23">
      <c r="A10" s="2">
        <f t="shared" si="1"/>
        <v>2030</v>
      </c>
      <c r="B10" s="26"/>
      <c r="C10" s="23"/>
      <c r="D10" s="31">
        <f t="shared" si="2"/>
        <v>14265674.267131802</v>
      </c>
      <c r="E10" s="55">
        <f t="shared" si="3"/>
        <v>1</v>
      </c>
      <c r="F10" s="1">
        <f t="shared" si="0"/>
        <v>14265674.267131802</v>
      </c>
      <c r="G10" s="1"/>
      <c r="H10" s="124">
        <v>0</v>
      </c>
      <c r="I10" s="126"/>
      <c r="J10" s="1"/>
      <c r="K10" s="129">
        <v>0</v>
      </c>
      <c r="L10" s="131"/>
      <c r="M10" s="1"/>
      <c r="N10" s="117" t="s">
        <v>42</v>
      </c>
      <c r="O10" s="118">
        <v>0</v>
      </c>
      <c r="P10" s="1"/>
      <c r="Q10" s="1"/>
      <c r="R10" s="1"/>
      <c r="S10" s="1"/>
      <c r="T10" s="1"/>
      <c r="U10" s="1"/>
      <c r="V10" s="1"/>
      <c r="W10" s="1"/>
    </row>
    <row r="11" spans="1:23">
      <c r="A11" s="2">
        <f t="shared" si="1"/>
        <v>2031</v>
      </c>
      <c r="B11" s="26"/>
      <c r="C11" s="23"/>
      <c r="D11" s="31">
        <f t="shared" si="2"/>
        <v>15135880.39742684</v>
      </c>
      <c r="E11" s="55">
        <f t="shared" si="3"/>
        <v>1</v>
      </c>
      <c r="F11" s="1">
        <f t="shared" si="0"/>
        <v>15135880.39742684</v>
      </c>
      <c r="G11" s="1"/>
      <c r="H11" s="124">
        <v>0</v>
      </c>
      <c r="I11" s="126"/>
      <c r="J11" s="1"/>
      <c r="K11" s="129">
        <v>0</v>
      </c>
      <c r="L11" s="131"/>
      <c r="M11" s="1"/>
      <c r="N11" s="117"/>
      <c r="O11" s="118"/>
      <c r="P11" s="1"/>
      <c r="Q11" s="1"/>
      <c r="R11" s="1"/>
      <c r="S11" s="1"/>
      <c r="T11" s="1"/>
      <c r="U11" s="1"/>
      <c r="V11" s="1"/>
      <c r="W11" s="1"/>
    </row>
    <row r="12" spans="1:23">
      <c r="A12" s="2">
        <f t="shared" si="1"/>
        <v>2032</v>
      </c>
      <c r="B12" s="26"/>
      <c r="C12" s="23"/>
      <c r="D12" s="31">
        <f t="shared" si="2"/>
        <v>16059169.101669876</v>
      </c>
      <c r="E12" s="55">
        <f t="shared" si="3"/>
        <v>1</v>
      </c>
      <c r="F12" s="1">
        <f t="shared" si="0"/>
        <v>16059169.101669876</v>
      </c>
      <c r="G12" s="1"/>
      <c r="H12" s="124">
        <v>0</v>
      </c>
      <c r="I12" s="126"/>
      <c r="J12" s="1"/>
      <c r="K12" s="129">
        <v>0</v>
      </c>
      <c r="L12" s="131"/>
      <c r="M12" s="1"/>
      <c r="N12" s="119" t="s">
        <v>1</v>
      </c>
      <c r="O12" s="120">
        <f>SUM(O4:O10)</f>
        <v>1</v>
      </c>
      <c r="P12" s="1"/>
      <c r="Q12" s="1"/>
      <c r="R12" s="1"/>
      <c r="S12" s="1"/>
      <c r="T12" s="1"/>
      <c r="U12" s="1"/>
      <c r="V12" s="1"/>
      <c r="W12" s="1"/>
    </row>
    <row r="13" spans="1:23">
      <c r="A13" s="2">
        <f t="shared" si="1"/>
        <v>2033</v>
      </c>
      <c r="B13" s="26"/>
      <c r="C13" s="23"/>
      <c r="D13" s="31">
        <f t="shared" si="2"/>
        <v>17038778.416871738</v>
      </c>
      <c r="E13" s="55">
        <f t="shared" si="3"/>
        <v>1</v>
      </c>
      <c r="F13" s="1">
        <f t="shared" si="0"/>
        <v>17038778.416871738</v>
      </c>
      <c r="G13" s="1"/>
      <c r="H13" s="124">
        <v>0</v>
      </c>
      <c r="I13" s="126"/>
      <c r="J13" s="1"/>
      <c r="K13" s="129">
        <v>0</v>
      </c>
      <c r="L13" s="13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2">
        <f t="shared" si="1"/>
        <v>2034</v>
      </c>
      <c r="B14" s="26"/>
      <c r="C14" s="23"/>
      <c r="D14" s="31">
        <f t="shared" si="2"/>
        <v>18078143.900300913</v>
      </c>
      <c r="E14" s="55">
        <f t="shared" si="3"/>
        <v>1</v>
      </c>
      <c r="F14" s="1">
        <f t="shared" si="0"/>
        <v>18078143.900300913</v>
      </c>
      <c r="G14" s="1"/>
      <c r="H14" s="124">
        <v>0</v>
      </c>
      <c r="I14" s="126"/>
      <c r="J14" s="1"/>
      <c r="K14" s="129">
        <v>0</v>
      </c>
      <c r="L14" s="13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2">
        <f t="shared" si="1"/>
        <v>2035</v>
      </c>
      <c r="B15" s="26"/>
      <c r="C15" s="23"/>
      <c r="D15" s="31">
        <f t="shared" si="2"/>
        <v>19180910.678219266</v>
      </c>
      <c r="E15" s="55">
        <f t="shared" si="3"/>
        <v>1</v>
      </c>
      <c r="F15" s="1">
        <f t="shared" si="0"/>
        <v>19180910.678219266</v>
      </c>
      <c r="G15" s="1"/>
      <c r="H15" s="124">
        <v>0</v>
      </c>
      <c r="I15" s="126"/>
      <c r="J15" s="1"/>
      <c r="K15" s="129">
        <v>0</v>
      </c>
      <c r="L15" s="13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2">
        <f t="shared" si="1"/>
        <v>2036</v>
      </c>
      <c r="B16" s="26"/>
      <c r="C16" s="23"/>
      <c r="D16" s="31">
        <f t="shared" si="2"/>
        <v>20350946.229590639</v>
      </c>
      <c r="E16" s="55">
        <f t="shared" si="3"/>
        <v>1</v>
      </c>
      <c r="F16" s="1">
        <f t="shared" si="0"/>
        <v>20350946.229590639</v>
      </c>
      <c r="G16" s="1"/>
      <c r="H16" s="124">
        <v>0</v>
      </c>
      <c r="I16" s="126"/>
      <c r="J16" s="1"/>
      <c r="K16" s="129">
        <v>0</v>
      </c>
      <c r="L16" s="13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2">
        <f t="shared" si="1"/>
        <v>2037</v>
      </c>
      <c r="B17" s="26"/>
      <c r="C17" s="23"/>
      <c r="D17" s="31">
        <f t="shared" si="2"/>
        <v>21592353.949595667</v>
      </c>
      <c r="E17" s="55">
        <f t="shared" si="3"/>
        <v>1</v>
      </c>
      <c r="F17" s="1">
        <f t="shared" si="0"/>
        <v>21592353.949595667</v>
      </c>
      <c r="G17" s="1"/>
      <c r="H17" s="124">
        <v>0</v>
      </c>
      <c r="I17" s="126"/>
      <c r="J17" s="1"/>
      <c r="K17" s="129">
        <v>0</v>
      </c>
      <c r="L17" s="13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2">
        <f t="shared" si="1"/>
        <v>2038</v>
      </c>
      <c r="B18" s="26"/>
      <c r="C18" s="23"/>
      <c r="D18" s="31">
        <f t="shared" si="2"/>
        <v>22909487.540521003</v>
      </c>
      <c r="E18" s="55">
        <f t="shared" si="3"/>
        <v>1</v>
      </c>
      <c r="F18" s="1">
        <f t="shared" si="0"/>
        <v>22909487.540521003</v>
      </c>
      <c r="G18" s="1"/>
      <c r="H18" s="124">
        <v>0</v>
      </c>
      <c r="I18" s="126"/>
      <c r="J18" s="1"/>
      <c r="K18" s="129">
        <v>0</v>
      </c>
      <c r="L18" s="13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3"/>
    </row>
    <row r="20" spans="1:23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"/>
    </row>
    <row r="21" spans="1:23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"/>
    </row>
    <row r="22" spans="1:23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3"/>
    </row>
    <row r="23" spans="1:23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3"/>
    </row>
    <row r="24" spans="1:23">
      <c r="A24" s="3"/>
      <c r="B24" s="3"/>
      <c r="C24" s="1"/>
      <c r="D24" s="1"/>
      <c r="E24" s="1"/>
      <c r="F24" s="41"/>
      <c r="G24" s="50"/>
      <c r="H24" s="51"/>
      <c r="I24" s="1"/>
      <c r="J24" s="1"/>
      <c r="K24" s="1"/>
      <c r="L24" s="1"/>
      <c r="M24" s="1"/>
      <c r="N24" s="1"/>
      <c r="O24" s="1"/>
      <c r="P24" s="1"/>
      <c r="Q24" s="1"/>
      <c r="R24" s="3"/>
    </row>
    <row r="25" spans="1:23">
      <c r="A25" s="3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"/>
    </row>
    <row r="26" spans="1:23">
      <c r="A26" s="3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"/>
    </row>
    <row r="27" spans="1:23">
      <c r="A27" s="132" t="s">
        <v>62</v>
      </c>
      <c r="B27" s="121" t="s">
        <v>302</v>
      </c>
      <c r="C27" s="114"/>
      <c r="D27" s="39" t="s">
        <v>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23" s="45" customFormat="1" ht="22.5">
      <c r="A28" s="42" t="s">
        <v>30</v>
      </c>
      <c r="B28" s="43" t="s">
        <v>0</v>
      </c>
      <c r="C28" s="44" t="s">
        <v>46</v>
      </c>
      <c r="D28" s="48">
        <v>2025</v>
      </c>
      <c r="E28" s="42">
        <f>D28+1</f>
        <v>2026</v>
      </c>
      <c r="F28" s="42">
        <f t="shared" ref="F28:R28" si="4">E28+1</f>
        <v>2027</v>
      </c>
      <c r="G28" s="42">
        <f t="shared" si="4"/>
        <v>2028</v>
      </c>
      <c r="H28" s="42">
        <f t="shared" si="4"/>
        <v>2029</v>
      </c>
      <c r="I28" s="42">
        <f t="shared" si="4"/>
        <v>2030</v>
      </c>
      <c r="J28" s="42">
        <f t="shared" si="4"/>
        <v>2031</v>
      </c>
      <c r="K28" s="42">
        <f t="shared" si="4"/>
        <v>2032</v>
      </c>
      <c r="L28" s="42">
        <f t="shared" si="4"/>
        <v>2033</v>
      </c>
      <c r="M28" s="42">
        <f t="shared" si="4"/>
        <v>2034</v>
      </c>
      <c r="N28" s="42">
        <f t="shared" si="4"/>
        <v>2035</v>
      </c>
      <c r="O28" s="42">
        <f t="shared" si="4"/>
        <v>2036</v>
      </c>
      <c r="P28" s="42">
        <f t="shared" si="4"/>
        <v>2037</v>
      </c>
      <c r="Q28" s="42">
        <f t="shared" si="4"/>
        <v>2038</v>
      </c>
      <c r="R28" s="42">
        <f t="shared" si="4"/>
        <v>2039</v>
      </c>
    </row>
    <row r="29" spans="1:23">
      <c r="R29" s="17"/>
    </row>
    <row r="30" spans="1:23">
      <c r="A30" s="21"/>
      <c r="B30" s="23">
        <v>0</v>
      </c>
      <c r="C30" s="20"/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</row>
    <row r="31" spans="1:23">
      <c r="R31" s="17"/>
    </row>
    <row r="32" spans="1:23">
      <c r="C32" s="57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</row>
    <row r="33" spans="1:18">
      <c r="C33" s="39"/>
      <c r="D33" s="39" t="s">
        <v>38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15" t="s">
        <v>30</v>
      </c>
      <c r="B34" s="16" t="s">
        <v>0</v>
      </c>
      <c r="C34" s="15"/>
      <c r="D34" s="15">
        <f t="shared" ref="D34:R34" si="5">D$100</f>
        <v>2025</v>
      </c>
      <c r="E34" s="15">
        <f t="shared" si="5"/>
        <v>2026</v>
      </c>
      <c r="F34" s="15">
        <f t="shared" si="5"/>
        <v>2027</v>
      </c>
      <c r="G34" s="15">
        <f t="shared" si="5"/>
        <v>2028</v>
      </c>
      <c r="H34" s="15">
        <f t="shared" si="5"/>
        <v>2029</v>
      </c>
      <c r="I34" s="15">
        <f t="shared" si="5"/>
        <v>2030</v>
      </c>
      <c r="J34" s="15">
        <f t="shared" si="5"/>
        <v>2031</v>
      </c>
      <c r="K34" s="15">
        <f t="shared" si="5"/>
        <v>2032</v>
      </c>
      <c r="L34" s="15">
        <f t="shared" si="5"/>
        <v>2033</v>
      </c>
      <c r="M34" s="15">
        <f t="shared" si="5"/>
        <v>2034</v>
      </c>
      <c r="N34" s="15">
        <f t="shared" si="5"/>
        <v>2035</v>
      </c>
      <c r="O34" s="15">
        <f t="shared" si="5"/>
        <v>2036</v>
      </c>
      <c r="P34" s="15">
        <f t="shared" si="5"/>
        <v>2037</v>
      </c>
      <c r="Q34" s="15">
        <f t="shared" si="5"/>
        <v>2038</v>
      </c>
      <c r="R34" s="15">
        <f t="shared" si="5"/>
        <v>2039</v>
      </c>
    </row>
    <row r="35" spans="1:18">
      <c r="A35" s="15"/>
      <c r="B35" s="1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>
      <c r="A36" s="21"/>
      <c r="B36" s="64">
        <v>0</v>
      </c>
      <c r="C36" s="20"/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</row>
    <row r="37" spans="1:18">
      <c r="A37" s="2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>
      <c r="C38" s="39"/>
      <c r="D38" s="39" t="s">
        <v>39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15" t="s">
        <v>30</v>
      </c>
      <c r="B39" s="16" t="s">
        <v>0</v>
      </c>
      <c r="C39" s="15"/>
      <c r="D39" s="15">
        <f t="shared" ref="D39:R39" si="6">D$100</f>
        <v>2025</v>
      </c>
      <c r="E39" s="15">
        <f t="shared" si="6"/>
        <v>2026</v>
      </c>
      <c r="F39" s="15">
        <f t="shared" si="6"/>
        <v>2027</v>
      </c>
      <c r="G39" s="15">
        <f t="shared" si="6"/>
        <v>2028</v>
      </c>
      <c r="H39" s="15">
        <f t="shared" si="6"/>
        <v>2029</v>
      </c>
      <c r="I39" s="15">
        <f t="shared" si="6"/>
        <v>2030</v>
      </c>
      <c r="J39" s="15">
        <f t="shared" si="6"/>
        <v>2031</v>
      </c>
      <c r="K39" s="15">
        <f t="shared" si="6"/>
        <v>2032</v>
      </c>
      <c r="L39" s="15">
        <f t="shared" si="6"/>
        <v>2033</v>
      </c>
      <c r="M39" s="15">
        <f t="shared" si="6"/>
        <v>2034</v>
      </c>
      <c r="N39" s="15">
        <f t="shared" si="6"/>
        <v>2035</v>
      </c>
      <c r="O39" s="15">
        <f t="shared" si="6"/>
        <v>2036</v>
      </c>
      <c r="P39" s="15">
        <f t="shared" si="6"/>
        <v>2037</v>
      </c>
      <c r="Q39" s="15">
        <f t="shared" si="6"/>
        <v>2038</v>
      </c>
      <c r="R39" s="15">
        <f t="shared" si="6"/>
        <v>2039</v>
      </c>
    </row>
    <row r="40" spans="1:18">
      <c r="R40" s="17"/>
    </row>
    <row r="41" spans="1:18">
      <c r="A41" s="21"/>
      <c r="B41" s="64">
        <v>0</v>
      </c>
      <c r="C41" s="20"/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</row>
    <row r="42" spans="1:18">
      <c r="R42" s="17"/>
    </row>
    <row r="43" spans="1:18">
      <c r="C43" s="39"/>
      <c r="D43" s="39" t="s">
        <v>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15" t="s">
        <v>30</v>
      </c>
      <c r="B44" s="16" t="s">
        <v>0</v>
      </c>
      <c r="C44" s="15"/>
      <c r="D44" s="15">
        <f t="shared" ref="D44:R44" si="7">D$100</f>
        <v>2025</v>
      </c>
      <c r="E44" s="15">
        <f t="shared" si="7"/>
        <v>2026</v>
      </c>
      <c r="F44" s="15">
        <f t="shared" si="7"/>
        <v>2027</v>
      </c>
      <c r="G44" s="15">
        <f t="shared" si="7"/>
        <v>2028</v>
      </c>
      <c r="H44" s="15">
        <f t="shared" si="7"/>
        <v>2029</v>
      </c>
      <c r="I44" s="15">
        <f t="shared" si="7"/>
        <v>2030</v>
      </c>
      <c r="J44" s="15">
        <f t="shared" si="7"/>
        <v>2031</v>
      </c>
      <c r="K44" s="15">
        <f t="shared" si="7"/>
        <v>2032</v>
      </c>
      <c r="L44" s="15">
        <f t="shared" si="7"/>
        <v>2033</v>
      </c>
      <c r="M44" s="15">
        <f t="shared" si="7"/>
        <v>2034</v>
      </c>
      <c r="N44" s="15">
        <f t="shared" si="7"/>
        <v>2035</v>
      </c>
      <c r="O44" s="15">
        <f t="shared" si="7"/>
        <v>2036</v>
      </c>
      <c r="P44" s="15">
        <f t="shared" si="7"/>
        <v>2037</v>
      </c>
      <c r="Q44" s="15">
        <f t="shared" si="7"/>
        <v>2038</v>
      </c>
      <c r="R44" s="15">
        <f t="shared" si="7"/>
        <v>2039</v>
      </c>
    </row>
    <row r="45" spans="1:18">
      <c r="R45" s="17"/>
    </row>
    <row r="46" spans="1:18">
      <c r="A46" s="21"/>
      <c r="B46" s="64">
        <v>0</v>
      </c>
      <c r="C46" s="20"/>
      <c r="D46" s="63">
        <f>D36+D41</f>
        <v>0</v>
      </c>
      <c r="E46" s="63">
        <f>E36+E41</f>
        <v>0</v>
      </c>
      <c r="F46" s="63">
        <f t="shared" ref="F46:R46" si="8">F36+F41</f>
        <v>0</v>
      </c>
      <c r="G46" s="63">
        <f t="shared" si="8"/>
        <v>0</v>
      </c>
      <c r="H46" s="63">
        <f t="shared" si="8"/>
        <v>0</v>
      </c>
      <c r="I46" s="63">
        <f t="shared" si="8"/>
        <v>0</v>
      </c>
      <c r="J46" s="63">
        <f t="shared" si="8"/>
        <v>0</v>
      </c>
      <c r="K46" s="63">
        <f t="shared" si="8"/>
        <v>0</v>
      </c>
      <c r="L46" s="63">
        <f t="shared" si="8"/>
        <v>0</v>
      </c>
      <c r="M46" s="63">
        <f t="shared" si="8"/>
        <v>0</v>
      </c>
      <c r="N46" s="63">
        <f t="shared" si="8"/>
        <v>0</v>
      </c>
      <c r="O46" s="63">
        <f t="shared" si="8"/>
        <v>0</v>
      </c>
      <c r="P46" s="63">
        <f t="shared" si="8"/>
        <v>0</v>
      </c>
      <c r="Q46" s="63">
        <f t="shared" si="8"/>
        <v>0</v>
      </c>
      <c r="R46" s="63">
        <f t="shared" si="8"/>
        <v>0</v>
      </c>
    </row>
    <row r="47" spans="1:18">
      <c r="A47" s="21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</row>
    <row r="48" spans="1:18">
      <c r="R48" s="17"/>
    </row>
    <row r="49" spans="1:18">
      <c r="A49" s="21" t="s">
        <v>37</v>
      </c>
      <c r="C49" s="20"/>
      <c r="D49" s="20">
        <f>D46</f>
        <v>0</v>
      </c>
      <c r="E49" s="20">
        <f>D49+E46</f>
        <v>0</v>
      </c>
      <c r="F49" s="20">
        <f>E49+F46</f>
        <v>0</v>
      </c>
      <c r="G49" s="20">
        <f>F49+G46</f>
        <v>0</v>
      </c>
      <c r="H49" s="20">
        <f>G49+H46</f>
        <v>0</v>
      </c>
      <c r="I49" s="20">
        <f t="shared" ref="I49:R49" si="9">H49+I46</f>
        <v>0</v>
      </c>
      <c r="J49" s="20">
        <f t="shared" si="9"/>
        <v>0</v>
      </c>
      <c r="K49" s="20">
        <f t="shared" si="9"/>
        <v>0</v>
      </c>
      <c r="L49" s="20">
        <f t="shared" si="9"/>
        <v>0</v>
      </c>
      <c r="M49" s="20">
        <f t="shared" si="9"/>
        <v>0</v>
      </c>
      <c r="N49" s="20">
        <f t="shared" si="9"/>
        <v>0</v>
      </c>
      <c r="O49" s="20">
        <f t="shared" si="9"/>
        <v>0</v>
      </c>
      <c r="P49" s="20">
        <f t="shared" si="9"/>
        <v>0</v>
      </c>
      <c r="Q49" s="20">
        <f t="shared" si="9"/>
        <v>0</v>
      </c>
      <c r="R49" s="20">
        <f t="shared" si="9"/>
        <v>0</v>
      </c>
    </row>
    <row r="50" spans="1:18">
      <c r="A50" s="3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3"/>
    </row>
    <row r="51" spans="1:18">
      <c r="A51" s="133" t="s">
        <v>320</v>
      </c>
      <c r="B51" s="3"/>
      <c r="C51" s="3"/>
      <c r="D51" s="39" t="s">
        <v>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s="45" customFormat="1" ht="22.5">
      <c r="A52" s="42" t="s">
        <v>30</v>
      </c>
      <c r="B52" s="43" t="s">
        <v>0</v>
      </c>
      <c r="C52" s="44" t="s">
        <v>46</v>
      </c>
      <c r="D52" s="48">
        <v>2025</v>
      </c>
      <c r="E52" s="42">
        <f>D52+1</f>
        <v>2026</v>
      </c>
      <c r="F52" s="42">
        <f t="shared" ref="F52:R52" si="10">E52+1</f>
        <v>2027</v>
      </c>
      <c r="G52" s="42">
        <f t="shared" si="10"/>
        <v>2028</v>
      </c>
      <c r="H52" s="42">
        <f t="shared" si="10"/>
        <v>2029</v>
      </c>
      <c r="I52" s="42">
        <f t="shared" si="10"/>
        <v>2030</v>
      </c>
      <c r="J52" s="42">
        <f t="shared" si="10"/>
        <v>2031</v>
      </c>
      <c r="K52" s="42">
        <f t="shared" si="10"/>
        <v>2032</v>
      </c>
      <c r="L52" s="42">
        <f t="shared" si="10"/>
        <v>2033</v>
      </c>
      <c r="M52" s="42">
        <f t="shared" si="10"/>
        <v>2034</v>
      </c>
      <c r="N52" s="42">
        <f t="shared" si="10"/>
        <v>2035</v>
      </c>
      <c r="O52" s="42">
        <f t="shared" si="10"/>
        <v>2036</v>
      </c>
      <c r="P52" s="42">
        <f t="shared" si="10"/>
        <v>2037</v>
      </c>
      <c r="Q52" s="42">
        <f t="shared" si="10"/>
        <v>2038</v>
      </c>
      <c r="R52" s="42">
        <f t="shared" si="10"/>
        <v>2039</v>
      </c>
    </row>
    <row r="53" spans="1:18">
      <c r="R53" s="17"/>
    </row>
    <row r="54" spans="1:18">
      <c r="A54" s="21"/>
      <c r="B54" s="23">
        <f>SUM(K4:K18)</f>
        <v>0</v>
      </c>
      <c r="C54" s="20">
        <f>B4</f>
        <v>10000000</v>
      </c>
      <c r="D54" s="64">
        <f>(C54+D146+D170)*(1+LTCMAs!$K$10)</f>
        <v>9980857.2136250902</v>
      </c>
      <c r="E54" s="64">
        <f>(D54+E146+E170)*(1+LTCMAs!$K$10)</f>
        <v>9134842.1485344283</v>
      </c>
      <c r="F54" s="64">
        <f>(E54+F146+F170)*(1+LTCMAs!$K$10)</f>
        <v>7430229.9670313438</v>
      </c>
      <c r="G54" s="64">
        <f>(F54+G146+G170)*(1+LTCMAs!$K$10)</f>
        <v>5189220.4407664509</v>
      </c>
      <c r="H54" s="64">
        <f>(G54+H146+H170)*(1+LTCMAs!$K$10)</f>
        <v>3007663.6467434424</v>
      </c>
      <c r="I54" s="64">
        <f>(H54+I146+I170)*(1+LTCMAs!$K$10)</f>
        <v>1193878.3184160036</v>
      </c>
      <c r="J54" s="64">
        <f>(I54+J146+J170)*(1+LTCMAs!$K$10)</f>
        <v>181040.82026123948</v>
      </c>
      <c r="K54" s="64">
        <f>(J54+K146+K170)*(1+LTCMAs!$K$10)</f>
        <v>43067.340083496099</v>
      </c>
      <c r="L54" s="64">
        <f>(K54+L146+L170)*(1+LTCMAs!$K$10)</f>
        <v>698750.89273967547</v>
      </c>
      <c r="M54" s="64">
        <f>(L54+M146+M170)*(1+LTCMAs!$K$10)</f>
        <v>1996791.1149346747</v>
      </c>
      <c r="N54" s="64">
        <f>(M54+N146+N170)*(1+LTCMAs!$K$10)</f>
        <v>4009205.4192444887</v>
      </c>
      <c r="O54" s="64">
        <f>(N54+O146+O170)*(1+LTCMAs!$K$10)</f>
        <v>6499859.0926427478</v>
      </c>
      <c r="P54" s="64">
        <f>(O54+P146+P170)*(1+LTCMAs!$K$10)</f>
        <v>9426290.3225900885</v>
      </c>
      <c r="Q54" s="64">
        <f>(P54+Q146+Q170)*(1+LTCMAs!$K$10)</f>
        <v>12695137.232870867</v>
      </c>
      <c r="R54" s="64">
        <f>(Q54+R146+R170)*(1+LTCMAs!$K$10)</f>
        <v>16317597.447393499</v>
      </c>
    </row>
    <row r="55" spans="1:18">
      <c r="R55" s="17"/>
    </row>
    <row r="56" spans="1:18">
      <c r="C56" s="57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</row>
    <row r="57" spans="1:18">
      <c r="C57" s="39"/>
      <c r="D57" s="39" t="s">
        <v>38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15" t="s">
        <v>30</v>
      </c>
      <c r="B58" s="16" t="s">
        <v>0</v>
      </c>
      <c r="C58" s="15"/>
      <c r="D58" s="15">
        <f t="shared" ref="D58:R58" si="11">D$100</f>
        <v>2025</v>
      </c>
      <c r="E58" s="15">
        <f t="shared" si="11"/>
        <v>2026</v>
      </c>
      <c r="F58" s="15">
        <f t="shared" si="11"/>
        <v>2027</v>
      </c>
      <c r="G58" s="15">
        <f t="shared" si="11"/>
        <v>2028</v>
      </c>
      <c r="H58" s="15">
        <f t="shared" si="11"/>
        <v>2029</v>
      </c>
      <c r="I58" s="15">
        <f t="shared" si="11"/>
        <v>2030</v>
      </c>
      <c r="J58" s="15">
        <f t="shared" si="11"/>
        <v>2031</v>
      </c>
      <c r="K58" s="15">
        <f t="shared" si="11"/>
        <v>2032</v>
      </c>
      <c r="L58" s="15">
        <f t="shared" si="11"/>
        <v>2033</v>
      </c>
      <c r="M58" s="15">
        <f t="shared" si="11"/>
        <v>2034</v>
      </c>
      <c r="N58" s="15">
        <f t="shared" si="11"/>
        <v>2035</v>
      </c>
      <c r="O58" s="15">
        <f t="shared" si="11"/>
        <v>2036</v>
      </c>
      <c r="P58" s="15">
        <f t="shared" si="11"/>
        <v>2037</v>
      </c>
      <c r="Q58" s="15">
        <f t="shared" si="11"/>
        <v>2038</v>
      </c>
      <c r="R58" s="15">
        <f t="shared" si="11"/>
        <v>2039</v>
      </c>
    </row>
    <row r="59" spans="1:18">
      <c r="A59" s="15"/>
      <c r="B59" s="16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8">
      <c r="A60" s="21"/>
      <c r="B60" s="23">
        <f>SUM(K4:K18)</f>
        <v>0</v>
      </c>
      <c r="C60" s="20"/>
      <c r="D60" s="64">
        <f>-K4</f>
        <v>0</v>
      </c>
      <c r="E60" s="64">
        <f>-$K5</f>
        <v>0</v>
      </c>
      <c r="F60" s="64">
        <f>-$K6</f>
        <v>0</v>
      </c>
      <c r="G60" s="64">
        <f>-$K7</f>
        <v>0</v>
      </c>
      <c r="H60" s="64">
        <f>-$K8</f>
        <v>0</v>
      </c>
      <c r="I60" s="64">
        <f>-$K9</f>
        <v>0</v>
      </c>
      <c r="J60" s="64">
        <f>-$K10</f>
        <v>0</v>
      </c>
      <c r="K60" s="64">
        <f>-$K11</f>
        <v>0</v>
      </c>
      <c r="L60" s="64">
        <f>-$K12</f>
        <v>0</v>
      </c>
      <c r="M60" s="64">
        <f>-$K13</f>
        <v>0</v>
      </c>
      <c r="N60" s="64">
        <f>-$K14</f>
        <v>0</v>
      </c>
      <c r="O60" s="64">
        <f>-$K15</f>
        <v>0</v>
      </c>
      <c r="P60" s="64">
        <f>-$K16</f>
        <v>0</v>
      </c>
      <c r="Q60" s="64">
        <f>-$K17</f>
        <v>0</v>
      </c>
      <c r="R60" s="64">
        <f>-$K18</f>
        <v>0</v>
      </c>
    </row>
    <row r="61" spans="1:18">
      <c r="A61" s="21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18">
      <c r="C62" s="39"/>
      <c r="D62" s="39" t="s">
        <v>39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15" t="s">
        <v>30</v>
      </c>
      <c r="B63" s="16" t="s">
        <v>0</v>
      </c>
      <c r="C63" s="15"/>
      <c r="D63" s="15">
        <f t="shared" ref="D63:R63" si="12">D$100</f>
        <v>2025</v>
      </c>
      <c r="E63" s="15">
        <f t="shared" si="12"/>
        <v>2026</v>
      </c>
      <c r="F63" s="15">
        <f t="shared" si="12"/>
        <v>2027</v>
      </c>
      <c r="G63" s="15">
        <f t="shared" si="12"/>
        <v>2028</v>
      </c>
      <c r="H63" s="15">
        <f t="shared" si="12"/>
        <v>2029</v>
      </c>
      <c r="I63" s="15">
        <f t="shared" si="12"/>
        <v>2030</v>
      </c>
      <c r="J63" s="15">
        <f t="shared" si="12"/>
        <v>2031</v>
      </c>
      <c r="K63" s="15">
        <f t="shared" si="12"/>
        <v>2032</v>
      </c>
      <c r="L63" s="15">
        <f t="shared" si="12"/>
        <v>2033</v>
      </c>
      <c r="M63" s="15">
        <f t="shared" si="12"/>
        <v>2034</v>
      </c>
      <c r="N63" s="15">
        <f t="shared" si="12"/>
        <v>2035</v>
      </c>
      <c r="O63" s="15">
        <f t="shared" si="12"/>
        <v>2036</v>
      </c>
      <c r="P63" s="15">
        <f t="shared" si="12"/>
        <v>2037</v>
      </c>
      <c r="Q63" s="15">
        <f t="shared" si="12"/>
        <v>2038</v>
      </c>
      <c r="R63" s="15">
        <f t="shared" si="12"/>
        <v>2039</v>
      </c>
    </row>
    <row r="64" spans="1:18">
      <c r="R64" s="17"/>
    </row>
    <row r="65" spans="1:18">
      <c r="A65" s="21"/>
      <c r="B65" s="23">
        <f>SUM(K4:K18)</f>
        <v>0</v>
      </c>
      <c r="C65" s="20"/>
      <c r="D65" s="17">
        <f>K4*$L$4</f>
        <v>0</v>
      </c>
      <c r="E65" s="17">
        <f>SUM($K4:$K5)*$L$4</f>
        <v>0</v>
      </c>
      <c r="F65" s="17">
        <f>SUM($K4:$K6)*$L$4</f>
        <v>0</v>
      </c>
      <c r="G65" s="17">
        <f>SUM($K4:$K7)*$L$4</f>
        <v>0</v>
      </c>
      <c r="H65" s="17">
        <f>SUM($K4:$K8)*$L$4</f>
        <v>0</v>
      </c>
      <c r="I65" s="17">
        <f>SUM($K4:$K9)*$L$4</f>
        <v>0</v>
      </c>
      <c r="J65" s="17">
        <f>SUM($K4:$K10)*$L$4</f>
        <v>0</v>
      </c>
      <c r="K65" s="17">
        <f>SUM($K4:$K11)*$L$4</f>
        <v>0</v>
      </c>
      <c r="L65" s="17">
        <f>SUM($K4:$K12)*$L$4</f>
        <v>0</v>
      </c>
      <c r="M65" s="17">
        <f>SUM($K4:$K13)*$L$4</f>
        <v>0</v>
      </c>
      <c r="N65" s="17">
        <f>SUM($K4:$K14)*$L$4</f>
        <v>0</v>
      </c>
      <c r="O65" s="17">
        <f>SUM($K4:$K15)*$L$4</f>
        <v>0</v>
      </c>
      <c r="P65" s="17">
        <f>SUM($K4:$K16)*$L$4</f>
        <v>0</v>
      </c>
      <c r="Q65" s="17">
        <f>SUM($K4:$K17)*$L$4</f>
        <v>0</v>
      </c>
      <c r="R65" s="17">
        <f>SUM($K4:$K18)*$L$4</f>
        <v>0</v>
      </c>
    </row>
    <row r="66" spans="1:18">
      <c r="R66" s="17"/>
    </row>
    <row r="67" spans="1:18">
      <c r="C67" s="39"/>
      <c r="D67" s="39" t="s">
        <v>2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15" t="s">
        <v>30</v>
      </c>
      <c r="B68" s="16" t="s">
        <v>0</v>
      </c>
      <c r="C68" s="15"/>
      <c r="D68" s="15">
        <f t="shared" ref="D68:R68" si="13">D$100</f>
        <v>2025</v>
      </c>
      <c r="E68" s="15">
        <f t="shared" si="13"/>
        <v>2026</v>
      </c>
      <c r="F68" s="15">
        <f t="shared" si="13"/>
        <v>2027</v>
      </c>
      <c r="G68" s="15">
        <f t="shared" si="13"/>
        <v>2028</v>
      </c>
      <c r="H68" s="15">
        <f t="shared" si="13"/>
        <v>2029</v>
      </c>
      <c r="I68" s="15">
        <f t="shared" si="13"/>
        <v>2030</v>
      </c>
      <c r="J68" s="15">
        <f t="shared" si="13"/>
        <v>2031</v>
      </c>
      <c r="K68" s="15">
        <f t="shared" si="13"/>
        <v>2032</v>
      </c>
      <c r="L68" s="15">
        <f t="shared" si="13"/>
        <v>2033</v>
      </c>
      <c r="M68" s="15">
        <f t="shared" si="13"/>
        <v>2034</v>
      </c>
      <c r="N68" s="15">
        <f t="shared" si="13"/>
        <v>2035</v>
      </c>
      <c r="O68" s="15">
        <f t="shared" si="13"/>
        <v>2036</v>
      </c>
      <c r="P68" s="15">
        <f t="shared" si="13"/>
        <v>2037</v>
      </c>
      <c r="Q68" s="15">
        <f t="shared" si="13"/>
        <v>2038</v>
      </c>
      <c r="R68" s="15">
        <f t="shared" si="13"/>
        <v>2039</v>
      </c>
    </row>
    <row r="69" spans="1:18">
      <c r="R69" s="17"/>
    </row>
    <row r="70" spans="1:18">
      <c r="A70" s="21"/>
      <c r="B70" s="23">
        <f>SUM(K4:K18)</f>
        <v>0</v>
      </c>
      <c r="C70" s="20"/>
      <c r="D70" s="63">
        <f>D60+D65</f>
        <v>0</v>
      </c>
      <c r="E70" s="63">
        <f t="shared" ref="E70:R70" si="14">E60+E65</f>
        <v>0</v>
      </c>
      <c r="F70" s="63">
        <f t="shared" si="14"/>
        <v>0</v>
      </c>
      <c r="G70" s="63">
        <f t="shared" si="14"/>
        <v>0</v>
      </c>
      <c r="H70" s="63">
        <f t="shared" si="14"/>
        <v>0</v>
      </c>
      <c r="I70" s="63">
        <f t="shared" si="14"/>
        <v>0</v>
      </c>
      <c r="J70" s="63">
        <f t="shared" si="14"/>
        <v>0</v>
      </c>
      <c r="K70" s="63">
        <f t="shared" si="14"/>
        <v>0</v>
      </c>
      <c r="L70" s="63">
        <f t="shared" si="14"/>
        <v>0</v>
      </c>
      <c r="M70" s="63">
        <f t="shared" si="14"/>
        <v>0</v>
      </c>
      <c r="N70" s="63">
        <f t="shared" si="14"/>
        <v>0</v>
      </c>
      <c r="O70" s="63">
        <f t="shared" si="14"/>
        <v>0</v>
      </c>
      <c r="P70" s="63">
        <f t="shared" si="14"/>
        <v>0</v>
      </c>
      <c r="Q70" s="63">
        <f t="shared" si="14"/>
        <v>0</v>
      </c>
      <c r="R70" s="63">
        <f t="shared" si="14"/>
        <v>0</v>
      </c>
    </row>
    <row r="71" spans="1:18">
      <c r="A71" s="21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1:18">
      <c r="R72" s="17"/>
    </row>
    <row r="73" spans="1:18">
      <c r="A73" s="21" t="s">
        <v>37</v>
      </c>
      <c r="C73" s="20"/>
      <c r="D73" s="20">
        <f>D70</f>
        <v>0</v>
      </c>
      <c r="E73" s="20">
        <f>D73+E70</f>
        <v>0</v>
      </c>
      <c r="F73" s="20">
        <f>E73+F70</f>
        <v>0</v>
      </c>
      <c r="G73" s="20">
        <f>F73+G70</f>
        <v>0</v>
      </c>
      <c r="H73" s="20">
        <f>G73+H70</f>
        <v>0</v>
      </c>
      <c r="I73" s="20">
        <f t="shared" ref="I73:R73" si="15">H73+I70</f>
        <v>0</v>
      </c>
      <c r="J73" s="20">
        <f t="shared" si="15"/>
        <v>0</v>
      </c>
      <c r="K73" s="20">
        <f t="shared" si="15"/>
        <v>0</v>
      </c>
      <c r="L73" s="20">
        <f t="shared" si="15"/>
        <v>0</v>
      </c>
      <c r="M73" s="20">
        <f t="shared" si="15"/>
        <v>0</v>
      </c>
      <c r="N73" s="20">
        <f t="shared" si="15"/>
        <v>0</v>
      </c>
      <c r="O73" s="20">
        <f t="shared" si="15"/>
        <v>0</v>
      </c>
      <c r="P73" s="20">
        <f t="shared" si="15"/>
        <v>0</v>
      </c>
      <c r="Q73" s="20">
        <f t="shared" si="15"/>
        <v>0</v>
      </c>
      <c r="R73" s="20">
        <f t="shared" si="15"/>
        <v>0</v>
      </c>
    </row>
    <row r="74" spans="1:18">
      <c r="A74" s="3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3"/>
    </row>
    <row r="75" spans="1:18">
      <c r="A75" s="134" t="s">
        <v>299</v>
      </c>
      <c r="B75" s="3"/>
      <c r="C75" s="3"/>
      <c r="D75" s="39" t="s">
        <v>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s="45" customFormat="1" ht="22.5">
      <c r="A76" s="42" t="s">
        <v>30</v>
      </c>
      <c r="B76" s="43" t="s">
        <v>0</v>
      </c>
      <c r="C76" s="44" t="s">
        <v>46</v>
      </c>
      <c r="D76" s="48">
        <v>2025</v>
      </c>
      <c r="E76" s="42">
        <f>D76+1</f>
        <v>2026</v>
      </c>
      <c r="F76" s="42">
        <f t="shared" ref="F76:R76" si="16">E76+1</f>
        <v>2027</v>
      </c>
      <c r="G76" s="42">
        <f t="shared" si="16"/>
        <v>2028</v>
      </c>
      <c r="H76" s="42">
        <f t="shared" si="16"/>
        <v>2029</v>
      </c>
      <c r="I76" s="42">
        <f t="shared" si="16"/>
        <v>2030</v>
      </c>
      <c r="J76" s="42">
        <f t="shared" si="16"/>
        <v>2031</v>
      </c>
      <c r="K76" s="42">
        <f t="shared" si="16"/>
        <v>2032</v>
      </c>
      <c r="L76" s="42">
        <f t="shared" si="16"/>
        <v>2033</v>
      </c>
      <c r="M76" s="42">
        <f t="shared" si="16"/>
        <v>2034</v>
      </c>
      <c r="N76" s="42">
        <f t="shared" si="16"/>
        <v>2035</v>
      </c>
      <c r="O76" s="42">
        <f t="shared" si="16"/>
        <v>2036</v>
      </c>
      <c r="P76" s="42">
        <f t="shared" si="16"/>
        <v>2037</v>
      </c>
      <c r="Q76" s="42">
        <f t="shared" si="16"/>
        <v>2038</v>
      </c>
      <c r="R76" s="42">
        <f t="shared" si="16"/>
        <v>2039</v>
      </c>
    </row>
    <row r="77" spans="1:18">
      <c r="R77" s="17"/>
    </row>
    <row r="78" spans="1:18">
      <c r="A78" s="21"/>
      <c r="B78" s="23">
        <f>SUM(H4:H18)</f>
        <v>0</v>
      </c>
      <c r="C78" s="20"/>
      <c r="D78" s="64">
        <f>H4*(1+$I$4)</f>
        <v>0</v>
      </c>
      <c r="E78" s="64">
        <f t="shared" ref="E78:R78" si="17">D78*(1+$I$4)+E$84*(1+$I$4)</f>
        <v>0</v>
      </c>
      <c r="F78" s="64">
        <f t="shared" si="17"/>
        <v>0</v>
      </c>
      <c r="G78" s="64">
        <f t="shared" si="17"/>
        <v>0</v>
      </c>
      <c r="H78" s="64">
        <f t="shared" si="17"/>
        <v>0</v>
      </c>
      <c r="I78" s="64">
        <f t="shared" si="17"/>
        <v>0</v>
      </c>
      <c r="J78" s="64">
        <f t="shared" si="17"/>
        <v>0</v>
      </c>
      <c r="K78" s="64">
        <f t="shared" si="17"/>
        <v>0</v>
      </c>
      <c r="L78" s="64">
        <f t="shared" si="17"/>
        <v>0</v>
      </c>
      <c r="M78" s="64">
        <f t="shared" si="17"/>
        <v>0</v>
      </c>
      <c r="N78" s="64">
        <f t="shared" si="17"/>
        <v>0</v>
      </c>
      <c r="O78" s="64">
        <f t="shared" si="17"/>
        <v>0</v>
      </c>
      <c r="P78" s="64">
        <f t="shared" si="17"/>
        <v>0</v>
      </c>
      <c r="Q78" s="64">
        <f t="shared" si="17"/>
        <v>0</v>
      </c>
      <c r="R78" s="64">
        <f t="shared" si="17"/>
        <v>0</v>
      </c>
    </row>
    <row r="79" spans="1:18">
      <c r="R79" s="17"/>
    </row>
    <row r="80" spans="1:18">
      <c r="C80" s="57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</row>
    <row r="81" spans="1:18">
      <c r="C81" s="39"/>
      <c r="D81" s="39" t="s">
        <v>38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15" t="s">
        <v>30</v>
      </c>
      <c r="B82" s="16" t="s">
        <v>0</v>
      </c>
      <c r="C82" s="15"/>
      <c r="D82" s="15">
        <f t="shared" ref="D82:R82" si="18">D$100</f>
        <v>2025</v>
      </c>
      <c r="E82" s="15">
        <f t="shared" si="18"/>
        <v>2026</v>
      </c>
      <c r="F82" s="15">
        <f t="shared" si="18"/>
        <v>2027</v>
      </c>
      <c r="G82" s="15">
        <f t="shared" si="18"/>
        <v>2028</v>
      </c>
      <c r="H82" s="15">
        <f t="shared" si="18"/>
        <v>2029</v>
      </c>
      <c r="I82" s="15">
        <f t="shared" si="18"/>
        <v>2030</v>
      </c>
      <c r="J82" s="15">
        <f t="shared" si="18"/>
        <v>2031</v>
      </c>
      <c r="K82" s="15">
        <f t="shared" si="18"/>
        <v>2032</v>
      </c>
      <c r="L82" s="15">
        <f t="shared" si="18"/>
        <v>2033</v>
      </c>
      <c r="M82" s="15">
        <f t="shared" si="18"/>
        <v>2034</v>
      </c>
      <c r="N82" s="15">
        <f t="shared" si="18"/>
        <v>2035</v>
      </c>
      <c r="O82" s="15">
        <f t="shared" si="18"/>
        <v>2036</v>
      </c>
      <c r="P82" s="15">
        <f t="shared" si="18"/>
        <v>2037</v>
      </c>
      <c r="Q82" s="15">
        <f t="shared" si="18"/>
        <v>2038</v>
      </c>
      <c r="R82" s="15">
        <f t="shared" si="18"/>
        <v>2039</v>
      </c>
    </row>
    <row r="83" spans="1:18">
      <c r="A83" s="15"/>
      <c r="B83" s="1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>
      <c r="A84" s="21"/>
      <c r="B84" s="113">
        <f>SUM(H4:H18)</f>
        <v>0</v>
      </c>
      <c r="C84" s="20"/>
      <c r="D84" s="64">
        <f>-$H4</f>
        <v>0</v>
      </c>
      <c r="E84" s="64">
        <f>-$H5</f>
        <v>0</v>
      </c>
      <c r="F84" s="64">
        <f>-$H6</f>
        <v>0</v>
      </c>
      <c r="G84" s="64">
        <f>-$H7</f>
        <v>0</v>
      </c>
      <c r="H84" s="64">
        <f>-$H8</f>
        <v>0</v>
      </c>
      <c r="I84" s="64">
        <f>-$H9</f>
        <v>0</v>
      </c>
      <c r="J84" s="64">
        <f>-$H10</f>
        <v>0</v>
      </c>
      <c r="K84" s="64">
        <f>-$H11</f>
        <v>0</v>
      </c>
      <c r="L84" s="64">
        <f>-H12</f>
        <v>0</v>
      </c>
      <c r="M84" s="64">
        <f>-H13</f>
        <v>0</v>
      </c>
      <c r="N84" s="64">
        <f>-H14</f>
        <v>0</v>
      </c>
      <c r="O84" s="64">
        <f>-H15</f>
        <v>0</v>
      </c>
      <c r="P84" s="64">
        <f>-H16</f>
        <v>0</v>
      </c>
      <c r="Q84" s="64">
        <f>-H17</f>
        <v>0</v>
      </c>
      <c r="R84" s="64">
        <f>-H18</f>
        <v>0</v>
      </c>
    </row>
    <row r="85" spans="1:18">
      <c r="A85" s="21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1:18">
      <c r="C86" s="39"/>
      <c r="D86" s="39" t="s">
        <v>39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15" t="s">
        <v>30</v>
      </c>
      <c r="B87" s="16" t="s">
        <v>0</v>
      </c>
      <c r="C87" s="15"/>
      <c r="D87" s="15">
        <f t="shared" ref="D87:R87" si="19">D$100</f>
        <v>2025</v>
      </c>
      <c r="E87" s="15">
        <f t="shared" si="19"/>
        <v>2026</v>
      </c>
      <c r="F87" s="15">
        <f t="shared" si="19"/>
        <v>2027</v>
      </c>
      <c r="G87" s="15">
        <f t="shared" si="19"/>
        <v>2028</v>
      </c>
      <c r="H87" s="15">
        <f t="shared" si="19"/>
        <v>2029</v>
      </c>
      <c r="I87" s="15">
        <f t="shared" si="19"/>
        <v>2030</v>
      </c>
      <c r="J87" s="15">
        <f t="shared" si="19"/>
        <v>2031</v>
      </c>
      <c r="K87" s="15">
        <f t="shared" si="19"/>
        <v>2032</v>
      </c>
      <c r="L87" s="15">
        <f t="shared" si="19"/>
        <v>2033</v>
      </c>
      <c r="M87" s="15">
        <f t="shared" si="19"/>
        <v>2034</v>
      </c>
      <c r="N87" s="15">
        <f t="shared" si="19"/>
        <v>2035</v>
      </c>
      <c r="O87" s="15">
        <f t="shared" si="19"/>
        <v>2036</v>
      </c>
      <c r="P87" s="15">
        <f t="shared" si="19"/>
        <v>2037</v>
      </c>
      <c r="Q87" s="15">
        <f t="shared" si="19"/>
        <v>2038</v>
      </c>
      <c r="R87" s="15">
        <f t="shared" si="19"/>
        <v>2039</v>
      </c>
    </row>
    <row r="88" spans="1:18">
      <c r="R88" s="17"/>
    </row>
    <row r="89" spans="1:18">
      <c r="A89" s="21"/>
      <c r="B89" s="113">
        <f>SUM(H4:H18)</f>
        <v>0</v>
      </c>
      <c r="C89" s="20"/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</row>
    <row r="90" spans="1:18">
      <c r="R90" s="17"/>
    </row>
    <row r="91" spans="1:18">
      <c r="C91" s="39"/>
      <c r="D91" s="39" t="s">
        <v>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15" t="s">
        <v>30</v>
      </c>
      <c r="B92" s="16" t="s">
        <v>0</v>
      </c>
      <c r="C92" s="15"/>
      <c r="D92" s="15">
        <f t="shared" ref="D92:R92" si="20">D$100</f>
        <v>2025</v>
      </c>
      <c r="E92" s="15">
        <f t="shared" si="20"/>
        <v>2026</v>
      </c>
      <c r="F92" s="15">
        <f t="shared" si="20"/>
        <v>2027</v>
      </c>
      <c r="G92" s="15">
        <f t="shared" si="20"/>
        <v>2028</v>
      </c>
      <c r="H92" s="15">
        <f t="shared" si="20"/>
        <v>2029</v>
      </c>
      <c r="I92" s="15">
        <f t="shared" si="20"/>
        <v>2030</v>
      </c>
      <c r="J92" s="15">
        <f t="shared" si="20"/>
        <v>2031</v>
      </c>
      <c r="K92" s="15">
        <f t="shared" si="20"/>
        <v>2032</v>
      </c>
      <c r="L92" s="15">
        <f t="shared" si="20"/>
        <v>2033</v>
      </c>
      <c r="M92" s="15">
        <f t="shared" si="20"/>
        <v>2034</v>
      </c>
      <c r="N92" s="15">
        <f t="shared" si="20"/>
        <v>2035</v>
      </c>
      <c r="O92" s="15">
        <f t="shared" si="20"/>
        <v>2036</v>
      </c>
      <c r="P92" s="15">
        <f t="shared" si="20"/>
        <v>2037</v>
      </c>
      <c r="Q92" s="15">
        <f t="shared" si="20"/>
        <v>2038</v>
      </c>
      <c r="R92" s="15">
        <f t="shared" si="20"/>
        <v>2039</v>
      </c>
    </row>
    <row r="93" spans="1:18">
      <c r="R93" s="17"/>
    </row>
    <row r="94" spans="1:18">
      <c r="A94" s="21"/>
      <c r="B94" s="113">
        <f>SUM(H4:H18)</f>
        <v>0</v>
      </c>
      <c r="C94" s="20"/>
      <c r="D94" s="63">
        <f>D84+D89</f>
        <v>0</v>
      </c>
      <c r="E94" s="63">
        <f t="shared" ref="E94:R94" si="21">E84+E89</f>
        <v>0</v>
      </c>
      <c r="F94" s="63">
        <f t="shared" si="21"/>
        <v>0</v>
      </c>
      <c r="G94" s="63">
        <f t="shared" si="21"/>
        <v>0</v>
      </c>
      <c r="H94" s="63">
        <f t="shared" si="21"/>
        <v>0</v>
      </c>
      <c r="I94" s="63">
        <f t="shared" si="21"/>
        <v>0</v>
      </c>
      <c r="J94" s="63">
        <f t="shared" si="21"/>
        <v>0</v>
      </c>
      <c r="K94" s="63">
        <f t="shared" si="21"/>
        <v>0</v>
      </c>
      <c r="L94" s="63">
        <f t="shared" si="21"/>
        <v>0</v>
      </c>
      <c r="M94" s="63">
        <f t="shared" si="21"/>
        <v>0</v>
      </c>
      <c r="N94" s="63">
        <f t="shared" si="21"/>
        <v>0</v>
      </c>
      <c r="O94" s="63">
        <f t="shared" si="21"/>
        <v>0</v>
      </c>
      <c r="P94" s="63">
        <f t="shared" si="21"/>
        <v>0</v>
      </c>
      <c r="Q94" s="63">
        <f t="shared" si="21"/>
        <v>0</v>
      </c>
      <c r="R94" s="63">
        <f t="shared" si="21"/>
        <v>0</v>
      </c>
    </row>
    <row r="95" spans="1:18">
      <c r="A95" s="21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1:18">
      <c r="R96" s="17"/>
    </row>
    <row r="97" spans="1:18">
      <c r="A97" s="21" t="s">
        <v>37</v>
      </c>
      <c r="C97" s="20"/>
      <c r="D97" s="20">
        <f>SUM($D$94:D94)</f>
        <v>0</v>
      </c>
      <c r="E97" s="20">
        <f>SUM($D$94:E94)</f>
        <v>0</v>
      </c>
      <c r="F97" s="20">
        <f>SUM($D$94:F94)</f>
        <v>0</v>
      </c>
      <c r="G97" s="20">
        <f>SUM($D$94:G94)</f>
        <v>0</v>
      </c>
      <c r="H97" s="20">
        <f>SUM($D$94:H94)</f>
        <v>0</v>
      </c>
      <c r="I97" s="20">
        <f>SUM($D$94:I94)</f>
        <v>0</v>
      </c>
      <c r="J97" s="20">
        <f>SUM($D$94:J94)</f>
        <v>0</v>
      </c>
      <c r="K97" s="20">
        <f>SUM($D$94:K94)</f>
        <v>0</v>
      </c>
      <c r="L97" s="20">
        <f>SUM($D$94:L94)</f>
        <v>0</v>
      </c>
      <c r="M97" s="20">
        <f>SUM($D$94:M94)</f>
        <v>0</v>
      </c>
      <c r="N97" s="20">
        <f>SUM($D$94:N94)</f>
        <v>0</v>
      </c>
      <c r="O97" s="20">
        <f>SUM($D$94:O94)</f>
        <v>0</v>
      </c>
      <c r="P97" s="20">
        <f>SUM($D$94:P94)</f>
        <v>0</v>
      </c>
      <c r="Q97" s="20">
        <f>SUM($D$94:Q94)</f>
        <v>0</v>
      </c>
      <c r="R97" s="20">
        <f>SUM($D$94:R94)</f>
        <v>0</v>
      </c>
    </row>
    <row r="98" spans="1:18">
      <c r="A98" s="60"/>
      <c r="B98" s="61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</row>
    <row r="99" spans="1:18">
      <c r="A99" s="135" t="s">
        <v>298</v>
      </c>
      <c r="B99" s="3"/>
      <c r="C99" s="3"/>
      <c r="D99" s="39" t="s">
        <v>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s="45" customFormat="1" ht="22.5">
      <c r="A100" s="42" t="s">
        <v>30</v>
      </c>
      <c r="B100" s="43" t="s">
        <v>0</v>
      </c>
      <c r="C100" s="44" t="s">
        <v>46</v>
      </c>
      <c r="D100" s="48">
        <v>2025</v>
      </c>
      <c r="E100" s="42">
        <f>D100+1</f>
        <v>2026</v>
      </c>
      <c r="F100" s="42">
        <f t="shared" ref="F100:R100" si="22">E100+1</f>
        <v>2027</v>
      </c>
      <c r="G100" s="42">
        <f t="shared" si="22"/>
        <v>2028</v>
      </c>
      <c r="H100" s="42">
        <f t="shared" si="22"/>
        <v>2029</v>
      </c>
      <c r="I100" s="42">
        <f t="shared" si="22"/>
        <v>2030</v>
      </c>
      <c r="J100" s="42">
        <f t="shared" si="22"/>
        <v>2031</v>
      </c>
      <c r="K100" s="42">
        <f t="shared" si="22"/>
        <v>2032</v>
      </c>
      <c r="L100" s="42">
        <f t="shared" si="22"/>
        <v>2033</v>
      </c>
      <c r="M100" s="42">
        <f t="shared" si="22"/>
        <v>2034</v>
      </c>
      <c r="N100" s="42">
        <f t="shared" si="22"/>
        <v>2035</v>
      </c>
      <c r="O100" s="42">
        <f t="shared" si="22"/>
        <v>2036</v>
      </c>
      <c r="P100" s="42">
        <f t="shared" si="22"/>
        <v>2037</v>
      </c>
      <c r="Q100" s="42">
        <f t="shared" si="22"/>
        <v>2038</v>
      </c>
      <c r="R100" s="42">
        <f t="shared" si="22"/>
        <v>2039</v>
      </c>
    </row>
    <row r="101" spans="1:18">
      <c r="A101" s="49">
        <v>2025</v>
      </c>
      <c r="B101" s="23">
        <v>3900000</v>
      </c>
      <c r="C101" s="46">
        <f t="shared" ref="C101:C115" si="23">B101/$D4</f>
        <v>0.39</v>
      </c>
      <c r="D101" s="17">
        <f>VLOOKUP(D$100,'Aggregated Median CA data'!$D$126:$M$140,5,0)*$B101</f>
        <v>619798.84810948942</v>
      </c>
      <c r="E101" s="17">
        <f>VLOOKUP(E$100,'Aggregated Median CA data'!$D$126:$M$140,5,0)*$B101</f>
        <v>1377730.5413336221</v>
      </c>
      <c r="F101" s="17">
        <f>VLOOKUP(F$100,'Aggregated Median CA data'!$D$126:$M$140,5,0)*$B101</f>
        <v>2240893.0343931131</v>
      </c>
      <c r="G101" s="17">
        <f>VLOOKUP(G$100,'Aggregated Median CA data'!$D$126:$M$140,5,0)*$B101</f>
        <v>2928916.0945142261</v>
      </c>
      <c r="H101" s="17">
        <f>VLOOKUP(H$100,'Aggregated Median CA data'!$D$126:$M$140,5,0)*$B101</f>
        <v>3284097.9032119126</v>
      </c>
      <c r="I101" s="17">
        <f>VLOOKUP(I$100,'Aggregated Median CA data'!$D$126:$M$140,5,0)*$B101</f>
        <v>3142486.3873485434</v>
      </c>
      <c r="J101" s="17">
        <f>VLOOKUP(J$100,'Aggregated Median CA data'!$D$126:$M$140,5,0)*$B101</f>
        <v>2861892.1206368487</v>
      </c>
      <c r="K101" s="17">
        <f>VLOOKUP(K$100,'Aggregated Median CA data'!$D$126:$M$140,5,0)*$B101</f>
        <v>2426009.2978910981</v>
      </c>
      <c r="L101" s="17">
        <f>VLOOKUP(L$100,'Aggregated Median CA data'!$D$126:$M$140,5,0)*$B101</f>
        <v>1922276.7993185902</v>
      </c>
      <c r="M101" s="17">
        <f>VLOOKUP(M$100,'Aggregated Median CA data'!$D$126:$M$140,5,0)*$B101</f>
        <v>1564270.3432660811</v>
      </c>
      <c r="N101" s="17">
        <f>VLOOKUP(N$100,'Aggregated Median CA data'!$D$126:$M$140,5,0)*$B101</f>
        <v>1174462.7976624137</v>
      </c>
      <c r="O101" s="17">
        <f>VLOOKUP(O$100,'Aggregated Median CA data'!$D$126:$M$140,5,0)*$B101</f>
        <v>902056.17491072114</v>
      </c>
      <c r="P101" s="17">
        <f>VLOOKUP(P$100,'Aggregated Median CA data'!$D$126:$M$140,5,0)*$B101</f>
        <v>698711.61843047559</v>
      </c>
      <c r="Q101" s="17">
        <f>VLOOKUP(Q$100,'Aggregated Median CA data'!$D$126:$M$140,5,0)*$B101</f>
        <v>603071.19741045742</v>
      </c>
      <c r="R101" s="17">
        <f>VLOOKUP(R$100,'Aggregated Median CA data'!$D$126:$M$140,5,0)*$B101</f>
        <v>549638.6785504492</v>
      </c>
    </row>
    <row r="102" spans="1:18">
      <c r="A102" s="18">
        <f>A101+1</f>
        <v>2026</v>
      </c>
      <c r="B102" s="23">
        <v>3900000</v>
      </c>
      <c r="C102" s="46">
        <f t="shared" si="23"/>
        <v>0.36757775683317623</v>
      </c>
      <c r="E102" s="17">
        <f t="shared" ref="E102:R110" si="24">IF($B102=0,0,(D101/$B101)*$B102)</f>
        <v>619798.84810948942</v>
      </c>
      <c r="F102" s="17">
        <f t="shared" si="24"/>
        <v>1377730.5413336221</v>
      </c>
      <c r="G102" s="17">
        <f t="shared" si="24"/>
        <v>2240893.0343931131</v>
      </c>
      <c r="H102" s="17">
        <f t="shared" si="24"/>
        <v>2928916.0945142261</v>
      </c>
      <c r="I102" s="17">
        <f t="shared" si="24"/>
        <v>3284097.9032119126</v>
      </c>
      <c r="J102" s="17">
        <f t="shared" si="24"/>
        <v>3142486.3873485434</v>
      </c>
      <c r="K102" s="17">
        <f t="shared" si="24"/>
        <v>2861892.1206368487</v>
      </c>
      <c r="L102" s="17">
        <f t="shared" si="24"/>
        <v>2426009.2978910981</v>
      </c>
      <c r="M102" s="17">
        <f t="shared" si="24"/>
        <v>1922276.7993185902</v>
      </c>
      <c r="N102" s="17">
        <f t="shared" si="24"/>
        <v>1564270.3432660811</v>
      </c>
      <c r="O102" s="17">
        <f t="shared" si="24"/>
        <v>1174462.7976624137</v>
      </c>
      <c r="P102" s="17">
        <f t="shared" si="24"/>
        <v>902056.17491072114</v>
      </c>
      <c r="Q102" s="17">
        <f t="shared" si="24"/>
        <v>698711.61843047559</v>
      </c>
      <c r="R102" s="17">
        <f t="shared" si="24"/>
        <v>603071.19741045742</v>
      </c>
    </row>
    <row r="103" spans="1:18">
      <c r="A103" s="18">
        <f t="shared" ref="A103:A115" si="25">A102+1</f>
        <v>2027</v>
      </c>
      <c r="B103" s="23">
        <v>3900000</v>
      </c>
      <c r="C103" s="46">
        <f t="shared" si="23"/>
        <v>0.34644463415002474</v>
      </c>
      <c r="F103" s="17">
        <f t="shared" si="24"/>
        <v>619798.84810948942</v>
      </c>
      <c r="G103" s="17">
        <f t="shared" si="24"/>
        <v>1377730.5413336221</v>
      </c>
      <c r="H103" s="17">
        <f t="shared" si="24"/>
        <v>2240893.0343931131</v>
      </c>
      <c r="I103" s="17">
        <f t="shared" si="24"/>
        <v>2928916.0945142261</v>
      </c>
      <c r="J103" s="17">
        <f t="shared" si="24"/>
        <v>3284097.9032119126</v>
      </c>
      <c r="K103" s="17">
        <f t="shared" si="24"/>
        <v>3142486.3873485434</v>
      </c>
      <c r="L103" s="17">
        <f t="shared" si="24"/>
        <v>2861892.1206368487</v>
      </c>
      <c r="M103" s="17">
        <f t="shared" si="24"/>
        <v>2426009.2978910981</v>
      </c>
      <c r="N103" s="17">
        <f t="shared" si="24"/>
        <v>1922276.7993185902</v>
      </c>
      <c r="O103" s="17">
        <f t="shared" si="24"/>
        <v>1564270.3432660811</v>
      </c>
      <c r="P103" s="17">
        <f t="shared" si="24"/>
        <v>1174462.7976624137</v>
      </c>
      <c r="Q103" s="17">
        <f t="shared" si="24"/>
        <v>902056.17491072114</v>
      </c>
      <c r="R103" s="17">
        <f t="shared" si="24"/>
        <v>698711.61843047559</v>
      </c>
    </row>
    <row r="104" spans="1:18">
      <c r="A104" s="18">
        <f t="shared" si="25"/>
        <v>2028</v>
      </c>
      <c r="B104" s="23">
        <v>3900000</v>
      </c>
      <c r="C104" s="46">
        <f t="shared" si="23"/>
        <v>0.3265265166352731</v>
      </c>
      <c r="G104" s="17">
        <f t="shared" si="24"/>
        <v>619798.84810948942</v>
      </c>
      <c r="H104" s="17">
        <f t="shared" si="24"/>
        <v>1377730.5413336221</v>
      </c>
      <c r="I104" s="17">
        <f t="shared" si="24"/>
        <v>2240893.0343931131</v>
      </c>
      <c r="J104" s="17">
        <f t="shared" si="24"/>
        <v>2928916.0945142261</v>
      </c>
      <c r="K104" s="17">
        <f t="shared" si="24"/>
        <v>3284097.9032119126</v>
      </c>
      <c r="L104" s="17">
        <f t="shared" si="24"/>
        <v>3142486.3873485434</v>
      </c>
      <c r="M104" s="17">
        <f t="shared" si="24"/>
        <v>2861892.1206368487</v>
      </c>
      <c r="N104" s="17">
        <f t="shared" si="24"/>
        <v>2426009.2978910981</v>
      </c>
      <c r="O104" s="17">
        <f t="shared" si="24"/>
        <v>1922276.7993185902</v>
      </c>
      <c r="P104" s="17">
        <f t="shared" si="24"/>
        <v>1564270.3432660811</v>
      </c>
      <c r="Q104" s="17">
        <f t="shared" si="24"/>
        <v>1174462.7976624137</v>
      </c>
      <c r="R104" s="17">
        <f t="shared" si="24"/>
        <v>902056.17491072114</v>
      </c>
    </row>
    <row r="105" spans="1:18">
      <c r="A105" s="18">
        <f t="shared" si="25"/>
        <v>2029</v>
      </c>
      <c r="B105" s="23">
        <v>3900000</v>
      </c>
      <c r="C105" s="46">
        <f t="shared" si="23"/>
        <v>0.30775355008037053</v>
      </c>
      <c r="H105" s="17">
        <f t="shared" si="24"/>
        <v>619798.84810948942</v>
      </c>
      <c r="I105" s="17">
        <f t="shared" si="24"/>
        <v>1377730.5413336221</v>
      </c>
      <c r="J105" s="17">
        <f t="shared" si="24"/>
        <v>2240893.0343931131</v>
      </c>
      <c r="K105" s="17">
        <f t="shared" si="24"/>
        <v>2928916.0945142261</v>
      </c>
      <c r="L105" s="17">
        <f t="shared" si="24"/>
        <v>3284097.9032119126</v>
      </c>
      <c r="M105" s="17">
        <f t="shared" si="24"/>
        <v>3142486.3873485434</v>
      </c>
      <c r="N105" s="17">
        <f t="shared" si="24"/>
        <v>2861892.1206368487</v>
      </c>
      <c r="O105" s="17">
        <f t="shared" si="24"/>
        <v>2426009.2978910981</v>
      </c>
      <c r="P105" s="17">
        <f t="shared" si="24"/>
        <v>1922276.7993185902</v>
      </c>
      <c r="Q105" s="17">
        <f t="shared" si="24"/>
        <v>1564270.3432660811</v>
      </c>
      <c r="R105" s="17">
        <f t="shared" si="24"/>
        <v>1174462.7976624137</v>
      </c>
    </row>
    <row r="106" spans="1:18">
      <c r="A106" s="18">
        <f t="shared" si="25"/>
        <v>2030</v>
      </c>
      <c r="B106" s="23">
        <v>3900000</v>
      </c>
      <c r="C106" s="46">
        <f t="shared" si="23"/>
        <v>0.29005989639997221</v>
      </c>
      <c r="I106" s="17">
        <f t="shared" si="24"/>
        <v>619798.84810948942</v>
      </c>
      <c r="J106" s="17">
        <f t="shared" si="24"/>
        <v>1377730.5413336221</v>
      </c>
      <c r="K106" s="17">
        <f t="shared" si="24"/>
        <v>2240893.0343931131</v>
      </c>
      <c r="L106" s="17">
        <f t="shared" si="24"/>
        <v>2928916.0945142261</v>
      </c>
      <c r="M106" s="17">
        <f t="shared" si="24"/>
        <v>3284097.9032119126</v>
      </c>
      <c r="N106" s="17">
        <f t="shared" si="24"/>
        <v>3142486.3873485434</v>
      </c>
      <c r="O106" s="17">
        <f t="shared" si="24"/>
        <v>2861892.1206368487</v>
      </c>
      <c r="P106" s="17">
        <f t="shared" si="24"/>
        <v>2426009.2978910981</v>
      </c>
      <c r="Q106" s="17">
        <f t="shared" si="24"/>
        <v>1922276.7993185902</v>
      </c>
      <c r="R106" s="17">
        <f t="shared" si="24"/>
        <v>1564270.3432660811</v>
      </c>
    </row>
    <row r="107" spans="1:18">
      <c r="A107" s="18">
        <f t="shared" si="25"/>
        <v>2031</v>
      </c>
      <c r="B107" s="23">
        <v>3900000</v>
      </c>
      <c r="C107" s="46">
        <f t="shared" si="23"/>
        <v>0.2733835027332443</v>
      </c>
      <c r="J107" s="17">
        <f t="shared" si="24"/>
        <v>619798.84810948942</v>
      </c>
      <c r="K107" s="17">
        <f t="shared" si="24"/>
        <v>1377730.5413336221</v>
      </c>
      <c r="L107" s="17">
        <f t="shared" si="24"/>
        <v>2240893.0343931131</v>
      </c>
      <c r="M107" s="17">
        <f t="shared" si="24"/>
        <v>2928916.0945142261</v>
      </c>
      <c r="N107" s="17">
        <f t="shared" si="24"/>
        <v>3284097.9032119126</v>
      </c>
      <c r="O107" s="17">
        <f t="shared" si="24"/>
        <v>3142486.3873485434</v>
      </c>
      <c r="P107" s="17">
        <f t="shared" si="24"/>
        <v>2861892.1206368487</v>
      </c>
      <c r="Q107" s="17">
        <f t="shared" si="24"/>
        <v>2426009.2978910981</v>
      </c>
      <c r="R107" s="17">
        <f t="shared" si="24"/>
        <v>1922276.7993185902</v>
      </c>
    </row>
    <row r="108" spans="1:18">
      <c r="A108" s="18">
        <f t="shared" si="25"/>
        <v>2032</v>
      </c>
      <c r="B108" s="23">
        <v>3900000</v>
      </c>
      <c r="C108" s="46">
        <f t="shared" si="23"/>
        <v>0.25766588382021144</v>
      </c>
      <c r="K108" s="17">
        <f t="shared" si="24"/>
        <v>619798.84810948942</v>
      </c>
      <c r="L108" s="17">
        <f t="shared" si="24"/>
        <v>1377730.5413336221</v>
      </c>
      <c r="M108" s="17">
        <f t="shared" si="24"/>
        <v>2240893.0343931131</v>
      </c>
      <c r="N108" s="17">
        <f t="shared" si="24"/>
        <v>2928916.0945142261</v>
      </c>
      <c r="O108" s="17">
        <f t="shared" si="24"/>
        <v>3284097.9032119126</v>
      </c>
      <c r="P108" s="17">
        <f t="shared" si="24"/>
        <v>3142486.3873485434</v>
      </c>
      <c r="Q108" s="17">
        <f t="shared" si="24"/>
        <v>2861892.1206368487</v>
      </c>
      <c r="R108" s="17">
        <f t="shared" si="24"/>
        <v>2426009.2978910981</v>
      </c>
    </row>
    <row r="109" spans="1:18">
      <c r="A109" s="18">
        <f t="shared" si="25"/>
        <v>2033</v>
      </c>
      <c r="B109" s="23">
        <v>3900000</v>
      </c>
      <c r="C109" s="46">
        <f t="shared" si="23"/>
        <v>0.242851916889926</v>
      </c>
      <c r="L109" s="17">
        <f t="shared" si="24"/>
        <v>619798.84810948942</v>
      </c>
      <c r="M109" s="17">
        <f t="shared" si="24"/>
        <v>1377730.5413336221</v>
      </c>
      <c r="N109" s="17">
        <f t="shared" si="24"/>
        <v>2240893.0343931131</v>
      </c>
      <c r="O109" s="17">
        <f t="shared" si="24"/>
        <v>2928916.0945142261</v>
      </c>
      <c r="P109" s="17">
        <f t="shared" si="24"/>
        <v>3284097.9032119126</v>
      </c>
      <c r="Q109" s="17">
        <f t="shared" si="24"/>
        <v>3142486.3873485434</v>
      </c>
      <c r="R109" s="17">
        <f t="shared" si="24"/>
        <v>2861892.1206368487</v>
      </c>
    </row>
    <row r="110" spans="1:18">
      <c r="A110" s="18">
        <f t="shared" si="25"/>
        <v>2034</v>
      </c>
      <c r="B110" s="23">
        <v>3900000</v>
      </c>
      <c r="C110" s="46">
        <f t="shared" si="23"/>
        <v>0.2288896483411178</v>
      </c>
      <c r="M110" s="17">
        <f>IF($B110=0,0,(L109/$B109)*$B110)</f>
        <v>619798.84810948942</v>
      </c>
      <c r="N110" s="17">
        <f t="shared" si="24"/>
        <v>1377730.5413336221</v>
      </c>
      <c r="O110" s="17">
        <f t="shared" si="24"/>
        <v>2240893.0343931131</v>
      </c>
      <c r="P110" s="17">
        <f t="shared" si="24"/>
        <v>2928916.0945142261</v>
      </c>
      <c r="Q110" s="17">
        <f t="shared" si="24"/>
        <v>3284097.9032119126</v>
      </c>
      <c r="R110" s="17">
        <f t="shared" si="24"/>
        <v>3142486.3873485434</v>
      </c>
    </row>
    <row r="111" spans="1:18">
      <c r="A111" s="18">
        <f t="shared" si="25"/>
        <v>2035</v>
      </c>
      <c r="B111" s="23">
        <v>3900000</v>
      </c>
      <c r="C111" s="46">
        <f t="shared" si="23"/>
        <v>0.21573011153734006</v>
      </c>
      <c r="N111" s="17">
        <f>IF($B111=0,0,(M110/$B110)*$B111)</f>
        <v>619798.84810948942</v>
      </c>
      <c r="O111" s="17">
        <f>IF($B111=0,0,(N110/$B110)*$B111)</f>
        <v>1377730.5413336221</v>
      </c>
      <c r="P111" s="17">
        <f>IF($B111=0,0,(O110/$B110)*$B111)</f>
        <v>2240893.0343931131</v>
      </c>
      <c r="Q111" s="17">
        <f>IF($B111=0,0,(P110/$B110)*$B111)</f>
        <v>2928916.0945142261</v>
      </c>
      <c r="R111" s="17">
        <f>IF($B111=0,0,(Q110/$B110)*$B111)</f>
        <v>3284097.9032119126</v>
      </c>
    </row>
    <row r="112" spans="1:18">
      <c r="A112" s="18">
        <f t="shared" si="25"/>
        <v>2036</v>
      </c>
      <c r="B112" s="23">
        <v>3900000</v>
      </c>
      <c r="C112" s="46">
        <f t="shared" si="23"/>
        <v>0.20332715507760613</v>
      </c>
      <c r="O112" s="17">
        <f>IF($B112=0,0,(N111/$B111)*$B112)</f>
        <v>619798.84810948942</v>
      </c>
      <c r="P112" s="17">
        <f>IF($B112=0,0,(O111/$B111)*$B112)</f>
        <v>1377730.5413336221</v>
      </c>
      <c r="Q112" s="17">
        <f>IF($B112=0,0,(P111/$B111)*$B112)</f>
        <v>2240893.0343931131</v>
      </c>
      <c r="R112" s="17">
        <f>IF($B112=0,0,(Q111/$B111)*$B112)</f>
        <v>2928916.0945142261</v>
      </c>
    </row>
    <row r="113" spans="1:18">
      <c r="A113" s="18">
        <f t="shared" si="25"/>
        <v>2037</v>
      </c>
      <c r="B113" s="23">
        <v>3900000</v>
      </c>
      <c r="C113" s="46">
        <f t="shared" si="23"/>
        <v>0.19163728094025084</v>
      </c>
      <c r="P113" s="17">
        <f>IF($B113=0,0,(O112/$B112)*$B113)</f>
        <v>619798.84810948942</v>
      </c>
      <c r="Q113" s="17">
        <f>IF($B113=0,0,(P112/$B112)*$B113)</f>
        <v>1377730.5413336221</v>
      </c>
      <c r="R113" s="17">
        <f>IF($B113=0,0,(Q112/$B112)*$B113)</f>
        <v>2240893.0343931131</v>
      </c>
    </row>
    <row r="114" spans="1:18">
      <c r="A114" s="18">
        <f t="shared" si="25"/>
        <v>2038</v>
      </c>
      <c r="B114" s="23">
        <v>3900000</v>
      </c>
      <c r="C114" s="46">
        <f t="shared" si="23"/>
        <v>0.18061949193237592</v>
      </c>
      <c r="Q114" s="17">
        <f>IF($B114=0,0,(P113/$B113)*$B114)</f>
        <v>619798.84810948942</v>
      </c>
      <c r="R114" s="17">
        <f>IF($B114=0,0,(Q113/$B113)*$B114)</f>
        <v>1377730.5413336221</v>
      </c>
    </row>
    <row r="115" spans="1:18">
      <c r="A115" s="18">
        <f t="shared" si="25"/>
        <v>2039</v>
      </c>
      <c r="B115" s="23">
        <v>3900000</v>
      </c>
      <c r="C115" s="46">
        <f t="shared" si="23"/>
        <v>0.17023514790987362</v>
      </c>
      <c r="R115" s="17">
        <f>IF($B115=0,0,(Q114/$B114)*$B115)</f>
        <v>619798.84810948942</v>
      </c>
    </row>
    <row r="116" spans="1:18">
      <c r="R116" s="17"/>
    </row>
    <row r="117" spans="1:18">
      <c r="A117" s="21" t="s">
        <v>33</v>
      </c>
      <c r="C117" s="20"/>
      <c r="D117" s="20">
        <f>SUM(D101:D115)</f>
        <v>619798.84810948942</v>
      </c>
      <c r="E117" s="20">
        <f t="shared" ref="E117:R117" si="26">SUM(E101:E115)</f>
        <v>1997529.3894431116</v>
      </c>
      <c r="F117" s="20">
        <f t="shared" si="26"/>
        <v>4238422.4238362247</v>
      </c>
      <c r="G117" s="20">
        <f t="shared" si="26"/>
        <v>7167338.5183504513</v>
      </c>
      <c r="H117" s="20">
        <f t="shared" si="26"/>
        <v>10451436.421562362</v>
      </c>
      <c r="I117" s="20">
        <f t="shared" si="26"/>
        <v>13593922.808910906</v>
      </c>
      <c r="J117" s="20">
        <f t="shared" si="26"/>
        <v>16455814.929547755</v>
      </c>
      <c r="K117" s="20">
        <f t="shared" si="26"/>
        <v>18881824.227438856</v>
      </c>
      <c r="L117" s="20">
        <f t="shared" si="26"/>
        <v>20804101.026757449</v>
      </c>
      <c r="M117" s="20">
        <f t="shared" si="26"/>
        <v>22368371.370023526</v>
      </c>
      <c r="N117" s="20">
        <f t="shared" si="26"/>
        <v>23542834.167685941</v>
      </c>
      <c r="O117" s="20">
        <f t="shared" si="26"/>
        <v>24444890.342596661</v>
      </c>
      <c r="P117" s="20">
        <f t="shared" si="26"/>
        <v>25143601.961027138</v>
      </c>
      <c r="Q117" s="20">
        <f t="shared" si="26"/>
        <v>25746673.158437595</v>
      </c>
      <c r="R117" s="20">
        <f t="shared" si="26"/>
        <v>26296311.836988043</v>
      </c>
    </row>
    <row r="118" spans="1:18">
      <c r="R118" s="17"/>
    </row>
    <row r="119" spans="1:18">
      <c r="A119" s="21" t="s">
        <v>306</v>
      </c>
      <c r="C119" s="20"/>
      <c r="D119" s="20">
        <f>SUM(D117,D78,D54,D30)</f>
        <v>10600656.06173458</v>
      </c>
      <c r="E119" s="20">
        <f t="shared" ref="E119:R119" si="27">SUM(E117,E78,E54,E30)</f>
        <v>11132371.537977539</v>
      </c>
      <c r="F119" s="20">
        <f t="shared" si="27"/>
        <v>11668652.390867569</v>
      </c>
      <c r="G119" s="20">
        <f t="shared" si="27"/>
        <v>12356558.959116902</v>
      </c>
      <c r="H119" s="20">
        <f t="shared" si="27"/>
        <v>13459100.068305805</v>
      </c>
      <c r="I119" s="20">
        <f t="shared" si="27"/>
        <v>14787801.127326909</v>
      </c>
      <c r="J119" s="20">
        <f t="shared" si="27"/>
        <v>16636855.749808995</v>
      </c>
      <c r="K119" s="20">
        <f t="shared" si="27"/>
        <v>18924891.567522351</v>
      </c>
      <c r="L119" s="20">
        <f t="shared" si="27"/>
        <v>21502851.919497125</v>
      </c>
      <c r="M119" s="20">
        <f t="shared" si="27"/>
        <v>24365162.484958202</v>
      </c>
      <c r="N119" s="20">
        <f t="shared" si="27"/>
        <v>27552039.586930431</v>
      </c>
      <c r="O119" s="20">
        <f t="shared" si="27"/>
        <v>30944749.435239408</v>
      </c>
      <c r="P119" s="20">
        <f t="shared" si="27"/>
        <v>34569892.283617228</v>
      </c>
      <c r="Q119" s="20">
        <f t="shared" si="27"/>
        <v>38441810.391308464</v>
      </c>
      <c r="R119" s="20">
        <f t="shared" si="27"/>
        <v>42613909.284381539</v>
      </c>
    </row>
    <row r="120" spans="1:18">
      <c r="R120" s="17"/>
    </row>
    <row r="121" spans="1:18">
      <c r="A121" s="33" t="s">
        <v>34</v>
      </c>
      <c r="B121" s="32"/>
      <c r="C121" s="24"/>
      <c r="D121" s="24">
        <f>$D$4</f>
        <v>10000000</v>
      </c>
      <c r="E121" s="24">
        <f>$D$5</f>
        <v>10610000</v>
      </c>
      <c r="F121" s="24">
        <f>$D$6</f>
        <v>11257210</v>
      </c>
      <c r="G121" s="24">
        <f>$D$7</f>
        <v>11943899.809999999</v>
      </c>
      <c r="H121" s="24">
        <f>$D$8</f>
        <v>12672477.698409999</v>
      </c>
      <c r="I121" s="24">
        <f>$D$9</f>
        <v>13445498.838013008</v>
      </c>
      <c r="J121" s="24">
        <f>$D$10</f>
        <v>14265674.267131802</v>
      </c>
      <c r="K121" s="24">
        <f>$D$11</f>
        <v>15135880.39742684</v>
      </c>
      <c r="L121" s="24">
        <f>$D$12</f>
        <v>16059169.101669876</v>
      </c>
      <c r="M121" s="24">
        <f>$D$13</f>
        <v>17038778.416871738</v>
      </c>
      <c r="N121" s="24">
        <f>$D$14</f>
        <v>18078143.900300913</v>
      </c>
      <c r="O121" s="24">
        <f>$D$15</f>
        <v>19180910.678219266</v>
      </c>
      <c r="P121" s="24">
        <f>$D$16</f>
        <v>20350946.229590639</v>
      </c>
      <c r="Q121" s="24">
        <f>$D$17</f>
        <v>21592353.949595667</v>
      </c>
      <c r="R121" s="24">
        <f>$D$18</f>
        <v>22909487.540521003</v>
      </c>
    </row>
    <row r="122" spans="1:18">
      <c r="A122" s="37" t="s">
        <v>35</v>
      </c>
      <c r="B122" s="32"/>
      <c r="C122" s="34"/>
      <c r="D122" s="34">
        <f>D119/D121</f>
        <v>1.0600656061734579</v>
      </c>
      <c r="E122" s="34">
        <f t="shared" ref="E122:R122" si="28">E119/E121</f>
        <v>1.0492338867085333</v>
      </c>
      <c r="F122" s="34">
        <f t="shared" si="28"/>
        <v>1.0365492329686989</v>
      </c>
      <c r="G122" s="34">
        <f t="shared" si="28"/>
        <v>1.0345497832099535</v>
      </c>
      <c r="H122" s="34">
        <f t="shared" si="28"/>
        <v>1.0620732889507869</v>
      </c>
      <c r="I122" s="34">
        <f t="shared" si="28"/>
        <v>1.0998328366604706</v>
      </c>
      <c r="J122" s="34">
        <f t="shared" si="28"/>
        <v>1.1662158716283331</v>
      </c>
      <c r="K122" s="34">
        <f t="shared" si="28"/>
        <v>1.2503330543454649</v>
      </c>
      <c r="L122" s="34">
        <f t="shared" si="28"/>
        <v>1.3389766172436157</v>
      </c>
      <c r="M122" s="34">
        <f t="shared" si="28"/>
        <v>1.4299829417836611</v>
      </c>
      <c r="N122" s="34">
        <f t="shared" si="28"/>
        <v>1.5240524546589003</v>
      </c>
      <c r="O122" s="34">
        <f t="shared" si="28"/>
        <v>1.6133097095529711</v>
      </c>
      <c r="P122" s="34">
        <f t="shared" si="28"/>
        <v>1.6986872204178884</v>
      </c>
      <c r="Q122" s="34">
        <f t="shared" si="28"/>
        <v>1.7803436568817599</v>
      </c>
      <c r="R122" s="34">
        <f t="shared" si="28"/>
        <v>1.8600987564216995</v>
      </c>
    </row>
    <row r="123" spans="1:18">
      <c r="C123" s="65" t="s">
        <v>47</v>
      </c>
      <c r="D123" s="66">
        <f>D121/1000000</f>
        <v>10</v>
      </c>
      <c r="E123" s="67">
        <f t="shared" ref="E123:R123" si="29">E121/1000000</f>
        <v>10.61</v>
      </c>
      <c r="F123" s="67">
        <f t="shared" si="29"/>
        <v>11.257210000000001</v>
      </c>
      <c r="G123" s="67">
        <f t="shared" si="29"/>
        <v>11.943899809999998</v>
      </c>
      <c r="H123" s="67">
        <f t="shared" si="29"/>
        <v>12.672477698409999</v>
      </c>
      <c r="I123" s="67">
        <f t="shared" si="29"/>
        <v>13.445498838013009</v>
      </c>
      <c r="J123" s="67">
        <f t="shared" si="29"/>
        <v>14.265674267131802</v>
      </c>
      <c r="K123" s="67">
        <f t="shared" si="29"/>
        <v>15.13588039742684</v>
      </c>
      <c r="L123" s="67">
        <f t="shared" si="29"/>
        <v>16.059169101669877</v>
      </c>
      <c r="M123" s="67">
        <f t="shared" si="29"/>
        <v>17.038778416871736</v>
      </c>
      <c r="N123" s="67">
        <f t="shared" si="29"/>
        <v>18.078143900300912</v>
      </c>
      <c r="O123" s="67">
        <f t="shared" si="29"/>
        <v>19.180910678219266</v>
      </c>
      <c r="P123" s="67">
        <f t="shared" si="29"/>
        <v>20.35094622959064</v>
      </c>
      <c r="Q123" s="67">
        <f t="shared" si="29"/>
        <v>21.592353949595669</v>
      </c>
      <c r="R123" s="67">
        <f t="shared" si="29"/>
        <v>22.909487540521003</v>
      </c>
    </row>
    <row r="124" spans="1:18">
      <c r="C124" s="65" t="s">
        <v>48</v>
      </c>
      <c r="D124" s="66">
        <f>$B$101/1000000</f>
        <v>3.9</v>
      </c>
      <c r="E124" s="67">
        <f>$B$102/1000000</f>
        <v>3.9</v>
      </c>
      <c r="F124" s="67">
        <f>$B$103/1000000</f>
        <v>3.9</v>
      </c>
      <c r="G124" s="67">
        <f>$B$104/1000000</f>
        <v>3.9</v>
      </c>
      <c r="H124" s="67">
        <f>$B$105/1000000</f>
        <v>3.9</v>
      </c>
      <c r="I124" s="68">
        <f>$B$106/1000000</f>
        <v>3.9</v>
      </c>
      <c r="J124" s="68">
        <f>$B$107/1000000</f>
        <v>3.9</v>
      </c>
      <c r="K124" s="68">
        <f>$B$108/1000000</f>
        <v>3.9</v>
      </c>
      <c r="L124" s="68">
        <f>$B$109/1000000</f>
        <v>3.9</v>
      </c>
      <c r="M124" s="68">
        <f>$B$110/1000000</f>
        <v>3.9</v>
      </c>
      <c r="N124" s="67">
        <f>$B$111/1000000</f>
        <v>3.9</v>
      </c>
      <c r="O124" s="67">
        <f>$B$112/1000000</f>
        <v>3.9</v>
      </c>
      <c r="P124" s="67">
        <f>$B$113/1000000</f>
        <v>3.9</v>
      </c>
      <c r="Q124" s="67">
        <f>$B$114/1000000</f>
        <v>3.9</v>
      </c>
      <c r="R124" s="67">
        <f>$B$115/1000000</f>
        <v>3.9</v>
      </c>
    </row>
    <row r="125" spans="1:18">
      <c r="C125" s="65" t="s">
        <v>63</v>
      </c>
      <c r="D125" s="66">
        <f>D119/1000000</f>
        <v>10.600656061734579</v>
      </c>
      <c r="E125" s="66">
        <f t="shared" ref="E125:R125" si="30">E119/1000000</f>
        <v>11.132371537977539</v>
      </c>
      <c r="F125" s="66">
        <f t="shared" si="30"/>
        <v>11.668652390867569</v>
      </c>
      <c r="G125" s="66">
        <f t="shared" si="30"/>
        <v>12.356558959116903</v>
      </c>
      <c r="H125" s="66">
        <f t="shared" si="30"/>
        <v>13.459100068305805</v>
      </c>
      <c r="I125" s="66">
        <f t="shared" si="30"/>
        <v>14.78780112732691</v>
      </c>
      <c r="J125" s="66">
        <f t="shared" si="30"/>
        <v>16.636855749808994</v>
      </c>
      <c r="K125" s="66">
        <f t="shared" si="30"/>
        <v>18.924891567522351</v>
      </c>
      <c r="L125" s="66">
        <f t="shared" si="30"/>
        <v>21.502851919497125</v>
      </c>
      <c r="M125" s="66">
        <f t="shared" si="30"/>
        <v>24.365162484958201</v>
      </c>
      <c r="N125" s="66">
        <f t="shared" si="30"/>
        <v>27.55203958693043</v>
      </c>
      <c r="O125" s="66">
        <f t="shared" si="30"/>
        <v>30.944749435239409</v>
      </c>
      <c r="P125" s="66">
        <f t="shared" si="30"/>
        <v>34.569892283617229</v>
      </c>
      <c r="Q125" s="66">
        <f t="shared" si="30"/>
        <v>38.441810391308465</v>
      </c>
      <c r="R125" s="66">
        <f t="shared" si="30"/>
        <v>42.613909284381542</v>
      </c>
    </row>
    <row r="126" spans="1:18">
      <c r="C126" s="39"/>
      <c r="D126" s="39" t="s">
        <v>38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15" t="s">
        <v>30</v>
      </c>
      <c r="B127" s="16" t="s">
        <v>0</v>
      </c>
      <c r="C127" s="15"/>
      <c r="D127" s="15">
        <f t="shared" ref="D127:R127" si="31">D$100</f>
        <v>2025</v>
      </c>
      <c r="E127" s="15">
        <f t="shared" si="31"/>
        <v>2026</v>
      </c>
      <c r="F127" s="15">
        <f t="shared" si="31"/>
        <v>2027</v>
      </c>
      <c r="G127" s="15">
        <f t="shared" si="31"/>
        <v>2028</v>
      </c>
      <c r="H127" s="15">
        <f t="shared" si="31"/>
        <v>2029</v>
      </c>
      <c r="I127" s="15">
        <f t="shared" si="31"/>
        <v>2030</v>
      </c>
      <c r="J127" s="15">
        <f t="shared" si="31"/>
        <v>2031</v>
      </c>
      <c r="K127" s="15">
        <f t="shared" si="31"/>
        <v>2032</v>
      </c>
      <c r="L127" s="15">
        <f t="shared" si="31"/>
        <v>2033</v>
      </c>
      <c r="M127" s="15">
        <f t="shared" si="31"/>
        <v>2034</v>
      </c>
      <c r="N127" s="15">
        <f t="shared" si="31"/>
        <v>2035</v>
      </c>
      <c r="O127" s="15">
        <f t="shared" si="31"/>
        <v>2036</v>
      </c>
      <c r="P127" s="15">
        <f t="shared" si="31"/>
        <v>2037</v>
      </c>
      <c r="Q127" s="15">
        <f t="shared" si="31"/>
        <v>2038</v>
      </c>
      <c r="R127" s="15">
        <f t="shared" si="31"/>
        <v>2039</v>
      </c>
    </row>
    <row r="128" spans="1:18">
      <c r="A128" s="18">
        <f>A101</f>
        <v>2025</v>
      </c>
      <c r="B128" s="24">
        <f t="shared" ref="B128:B142" si="32">B101</f>
        <v>3900000</v>
      </c>
      <c r="D128" s="17">
        <f>VLOOKUP(D$100,'Aggregated Median CA data'!$D$126:$M$140,7,0)*$B128</f>
        <v>-672096.06203262624</v>
      </c>
      <c r="E128" s="17">
        <f>VLOOKUP(E$100,'Aggregated Median CA data'!$D$126:$M$140,7,0)*$B128</f>
        <v>-774526.05587465828</v>
      </c>
      <c r="F128" s="17">
        <f>VLOOKUP(F$100,'Aggregated Median CA data'!$D$126:$M$140,7,0)*$B128</f>
        <v>-829338.59859042021</v>
      </c>
      <c r="G128" s="17">
        <f>VLOOKUP(G$100,'Aggregated Median CA data'!$D$126:$M$140,7,0)*$B128</f>
        <v>-723349.29635259602</v>
      </c>
      <c r="H128" s="17">
        <f>VLOOKUP(H$100,'Aggregated Median CA data'!$D$126:$M$140,7,0)*$B128</f>
        <v>-451017.53247583337</v>
      </c>
      <c r="I128" s="17">
        <f>VLOOKUP(I$100,'Aggregated Median CA data'!$D$126:$M$140,7,0)*$B128</f>
        <v>-228788.73402695762</v>
      </c>
      <c r="J128" s="17">
        <f>VLOOKUP(J$100,'Aggregated Median CA data'!$D$126:$M$140,7,0)*$B128</f>
        <v>-103339.39554283915</v>
      </c>
      <c r="K128" s="17">
        <f>VLOOKUP(K$100,'Aggregated Median CA data'!$D$126:$M$140,7,0)*$B128</f>
        <v>-60792.102574873941</v>
      </c>
      <c r="L128" s="17">
        <f>VLOOKUP(L$100,'Aggregated Median CA data'!$D$126:$M$140,7,0)*$B128</f>
        <v>-22944.111939653878</v>
      </c>
      <c r="M128" s="17">
        <f>VLOOKUP(M$100,'Aggregated Median CA data'!$D$126:$M$140,7,0)*$B128</f>
        <v>-15950.280103039671</v>
      </c>
      <c r="N128" s="17">
        <f>VLOOKUP(N$100,'Aggregated Median CA data'!$D$126:$M$140,7,0)*$B128</f>
        <v>-10599.081730009386</v>
      </c>
      <c r="O128" s="17">
        <f>VLOOKUP(O$100,'Aggregated Median CA data'!$D$126:$M$140,7,0)*$B128</f>
        <v>-5834.1943348743762</v>
      </c>
      <c r="P128" s="17">
        <f>VLOOKUP(P$100,'Aggregated Median CA data'!$D$126:$M$140,7,0)*$B128</f>
        <v>-4230.8477399490394</v>
      </c>
      <c r="Q128" s="17">
        <f>VLOOKUP(Q$100,'Aggregated Median CA data'!$D$126:$M$140,7,0)*$B128</f>
        <v>-355.66795809243155</v>
      </c>
      <c r="R128" s="17">
        <f>VLOOKUP(R$100,'Aggregated Median CA data'!$D$126:$M$140,7,0)*$B128</f>
        <v>-1530.3283453626636</v>
      </c>
    </row>
    <row r="129" spans="1:18">
      <c r="A129" s="18">
        <f t="shared" ref="A129:A142" si="33">A102</f>
        <v>2026</v>
      </c>
      <c r="B129" s="24">
        <f t="shared" si="32"/>
        <v>3900000</v>
      </c>
      <c r="C129" s="22"/>
      <c r="E129" s="17">
        <f>IFERROR((D128/$B128)*$B129,0)</f>
        <v>-672096.06203262624</v>
      </c>
      <c r="F129" s="17">
        <f t="shared" ref="F129:R141" si="34">IFERROR((E128/$B128)*$B129,0)</f>
        <v>-774526.05587465828</v>
      </c>
      <c r="G129" s="17">
        <f t="shared" si="34"/>
        <v>-829338.59859042021</v>
      </c>
      <c r="H129" s="17">
        <f t="shared" si="34"/>
        <v>-723349.29635259602</v>
      </c>
      <c r="I129" s="17">
        <f t="shared" si="34"/>
        <v>-451017.53247583337</v>
      </c>
      <c r="J129" s="17">
        <f t="shared" si="34"/>
        <v>-228788.73402695762</v>
      </c>
      <c r="K129" s="17">
        <f t="shared" si="34"/>
        <v>-103339.39554283915</v>
      </c>
      <c r="L129" s="17">
        <f t="shared" si="34"/>
        <v>-60792.102574873941</v>
      </c>
      <c r="M129" s="17">
        <f t="shared" si="34"/>
        <v>-22944.111939653878</v>
      </c>
      <c r="N129" s="17">
        <f t="shared" si="34"/>
        <v>-15950.280103039671</v>
      </c>
      <c r="O129" s="17">
        <f t="shared" si="34"/>
        <v>-10599.081730009386</v>
      </c>
      <c r="P129" s="17">
        <f t="shared" si="34"/>
        <v>-5834.1943348743762</v>
      </c>
      <c r="Q129" s="17">
        <f t="shared" si="34"/>
        <v>-4230.8477399490394</v>
      </c>
      <c r="R129" s="17">
        <f t="shared" si="34"/>
        <v>-355.66795809243155</v>
      </c>
    </row>
    <row r="130" spans="1:18">
      <c r="A130" s="18">
        <f t="shared" si="33"/>
        <v>2027</v>
      </c>
      <c r="B130" s="24">
        <f t="shared" si="32"/>
        <v>3900000</v>
      </c>
      <c r="C130" s="22"/>
      <c r="F130" s="17">
        <f>IFERROR((E129/$B129)*$B130,0)</f>
        <v>-672096.06203262624</v>
      </c>
      <c r="G130" s="17">
        <f t="shared" si="34"/>
        <v>-774526.05587465828</v>
      </c>
      <c r="H130" s="17">
        <f t="shared" si="34"/>
        <v>-829338.59859042021</v>
      </c>
      <c r="I130" s="17">
        <f t="shared" si="34"/>
        <v>-723349.29635259602</v>
      </c>
      <c r="J130" s="17">
        <f t="shared" si="34"/>
        <v>-451017.53247583337</v>
      </c>
      <c r="K130" s="17">
        <f t="shared" si="34"/>
        <v>-228788.73402695762</v>
      </c>
      <c r="L130" s="17">
        <f t="shared" si="34"/>
        <v>-103339.39554283915</v>
      </c>
      <c r="M130" s="17">
        <f t="shared" si="34"/>
        <v>-60792.102574873941</v>
      </c>
      <c r="N130" s="17">
        <f t="shared" si="34"/>
        <v>-22944.111939653878</v>
      </c>
      <c r="O130" s="17">
        <f t="shared" si="34"/>
        <v>-15950.280103039671</v>
      </c>
      <c r="P130" s="17">
        <f t="shared" si="34"/>
        <v>-10599.081730009386</v>
      </c>
      <c r="Q130" s="17">
        <f t="shared" si="34"/>
        <v>-5834.1943348743762</v>
      </c>
      <c r="R130" s="17">
        <f t="shared" si="34"/>
        <v>-4230.8477399490394</v>
      </c>
    </row>
    <row r="131" spans="1:18">
      <c r="A131" s="18">
        <f t="shared" si="33"/>
        <v>2028</v>
      </c>
      <c r="B131" s="24">
        <f t="shared" si="32"/>
        <v>3900000</v>
      </c>
      <c r="C131" s="22"/>
      <c r="G131" s="17">
        <f>IFERROR((F130/$B130)*$B131,0)</f>
        <v>-672096.06203262624</v>
      </c>
      <c r="H131" s="17">
        <f t="shared" si="34"/>
        <v>-774526.05587465828</v>
      </c>
      <c r="I131" s="17">
        <f t="shared" si="34"/>
        <v>-829338.59859042021</v>
      </c>
      <c r="J131" s="17">
        <f t="shared" si="34"/>
        <v>-723349.29635259602</v>
      </c>
      <c r="K131" s="17">
        <f t="shared" si="34"/>
        <v>-451017.53247583337</v>
      </c>
      <c r="L131" s="17">
        <f t="shared" si="34"/>
        <v>-228788.73402695762</v>
      </c>
      <c r="M131" s="17">
        <f t="shared" si="34"/>
        <v>-103339.39554283915</v>
      </c>
      <c r="N131" s="17">
        <f t="shared" si="34"/>
        <v>-60792.102574873941</v>
      </c>
      <c r="O131" s="17">
        <f t="shared" si="34"/>
        <v>-22944.111939653878</v>
      </c>
      <c r="P131" s="17">
        <f t="shared" si="34"/>
        <v>-15950.280103039671</v>
      </c>
      <c r="Q131" s="17">
        <f t="shared" si="34"/>
        <v>-10599.081730009386</v>
      </c>
      <c r="R131" s="17">
        <f t="shared" si="34"/>
        <v>-5834.1943348743762</v>
      </c>
    </row>
    <row r="132" spans="1:18">
      <c r="A132" s="18">
        <f t="shared" si="33"/>
        <v>2029</v>
      </c>
      <c r="B132" s="24">
        <f t="shared" si="32"/>
        <v>3900000</v>
      </c>
      <c r="C132" s="22"/>
      <c r="H132" s="17">
        <f>IFERROR((G131/$B131)*$B132,0)</f>
        <v>-672096.06203262624</v>
      </c>
      <c r="I132" s="17">
        <f t="shared" si="34"/>
        <v>-774526.05587465828</v>
      </c>
      <c r="J132" s="17">
        <f t="shared" si="34"/>
        <v>-829338.59859042021</v>
      </c>
      <c r="K132" s="17">
        <f t="shared" si="34"/>
        <v>-723349.29635259602</v>
      </c>
      <c r="L132" s="17">
        <f t="shared" si="34"/>
        <v>-451017.53247583337</v>
      </c>
      <c r="M132" s="17">
        <f t="shared" si="34"/>
        <v>-228788.73402695762</v>
      </c>
      <c r="N132" s="17">
        <f t="shared" si="34"/>
        <v>-103339.39554283915</v>
      </c>
      <c r="O132" s="17">
        <f t="shared" si="34"/>
        <v>-60792.102574873941</v>
      </c>
      <c r="P132" s="17">
        <f t="shared" si="34"/>
        <v>-22944.111939653878</v>
      </c>
      <c r="Q132" s="17">
        <f t="shared" si="34"/>
        <v>-15950.280103039671</v>
      </c>
      <c r="R132" s="17">
        <f t="shared" si="34"/>
        <v>-10599.081730009386</v>
      </c>
    </row>
    <row r="133" spans="1:18">
      <c r="A133" s="18">
        <f t="shared" si="33"/>
        <v>2030</v>
      </c>
      <c r="B133" s="24">
        <f t="shared" si="32"/>
        <v>3900000</v>
      </c>
      <c r="C133" s="22"/>
      <c r="I133" s="17">
        <f>IFERROR((H132/$B132)*$B133,0)</f>
        <v>-672096.06203262624</v>
      </c>
      <c r="J133" s="17">
        <f t="shared" si="34"/>
        <v>-774526.05587465828</v>
      </c>
      <c r="K133" s="17">
        <f t="shared" si="34"/>
        <v>-829338.59859042021</v>
      </c>
      <c r="L133" s="17">
        <f t="shared" si="34"/>
        <v>-723349.29635259602</v>
      </c>
      <c r="M133" s="17">
        <f t="shared" si="34"/>
        <v>-451017.53247583337</v>
      </c>
      <c r="N133" s="17">
        <f t="shared" si="34"/>
        <v>-228788.73402695762</v>
      </c>
      <c r="O133" s="17">
        <f t="shared" si="34"/>
        <v>-103339.39554283915</v>
      </c>
      <c r="P133" s="17">
        <f t="shared" si="34"/>
        <v>-60792.102574873941</v>
      </c>
      <c r="Q133" s="17">
        <f t="shared" si="34"/>
        <v>-22944.111939653878</v>
      </c>
      <c r="R133" s="17">
        <f t="shared" si="34"/>
        <v>-15950.280103039671</v>
      </c>
    </row>
    <row r="134" spans="1:18">
      <c r="A134" s="18">
        <f t="shared" si="33"/>
        <v>2031</v>
      </c>
      <c r="B134" s="24">
        <f t="shared" si="32"/>
        <v>3900000</v>
      </c>
      <c r="C134" s="22"/>
      <c r="J134" s="17">
        <f>IFERROR((I133/$B133)*$B134,0)</f>
        <v>-672096.06203262624</v>
      </c>
      <c r="K134" s="17">
        <f t="shared" si="34"/>
        <v>-774526.05587465828</v>
      </c>
      <c r="L134" s="17">
        <f t="shared" si="34"/>
        <v>-829338.59859042021</v>
      </c>
      <c r="M134" s="17">
        <f t="shared" si="34"/>
        <v>-723349.29635259602</v>
      </c>
      <c r="N134" s="17">
        <f t="shared" si="34"/>
        <v>-451017.53247583337</v>
      </c>
      <c r="O134" s="17">
        <f t="shared" si="34"/>
        <v>-228788.73402695762</v>
      </c>
      <c r="P134" s="17">
        <f t="shared" si="34"/>
        <v>-103339.39554283915</v>
      </c>
      <c r="Q134" s="17">
        <f t="shared" si="34"/>
        <v>-60792.102574873941</v>
      </c>
      <c r="R134" s="17">
        <f t="shared" si="34"/>
        <v>-22944.111939653878</v>
      </c>
    </row>
    <row r="135" spans="1:18">
      <c r="A135" s="18">
        <f t="shared" si="33"/>
        <v>2032</v>
      </c>
      <c r="B135" s="24">
        <f t="shared" si="32"/>
        <v>3900000</v>
      </c>
      <c r="K135" s="17">
        <f>IFERROR((J134/$B134)*$B135,0)</f>
        <v>-672096.06203262624</v>
      </c>
      <c r="L135" s="17">
        <f t="shared" si="34"/>
        <v>-774526.05587465828</v>
      </c>
      <c r="M135" s="17">
        <f t="shared" si="34"/>
        <v>-829338.59859042021</v>
      </c>
      <c r="N135" s="17">
        <f t="shared" si="34"/>
        <v>-723349.29635259602</v>
      </c>
      <c r="O135" s="17">
        <f t="shared" si="34"/>
        <v>-451017.53247583337</v>
      </c>
      <c r="P135" s="17">
        <f t="shared" si="34"/>
        <v>-228788.73402695762</v>
      </c>
      <c r="Q135" s="17">
        <f t="shared" si="34"/>
        <v>-103339.39554283915</v>
      </c>
      <c r="R135" s="17">
        <f t="shared" si="34"/>
        <v>-60792.102574873941</v>
      </c>
    </row>
    <row r="136" spans="1:18">
      <c r="A136" s="18">
        <f t="shared" si="33"/>
        <v>2033</v>
      </c>
      <c r="B136" s="24">
        <f t="shared" si="32"/>
        <v>3900000</v>
      </c>
      <c r="L136" s="17">
        <f>IFERROR((K135/$B135)*$B136,0)</f>
        <v>-672096.06203262624</v>
      </c>
      <c r="M136" s="17">
        <f t="shared" si="34"/>
        <v>-774526.05587465828</v>
      </c>
      <c r="N136" s="17">
        <f t="shared" si="34"/>
        <v>-829338.59859042021</v>
      </c>
      <c r="O136" s="17">
        <f t="shared" si="34"/>
        <v>-723349.29635259602</v>
      </c>
      <c r="P136" s="17">
        <f t="shared" si="34"/>
        <v>-451017.53247583337</v>
      </c>
      <c r="Q136" s="17">
        <f t="shared" si="34"/>
        <v>-228788.73402695762</v>
      </c>
      <c r="R136" s="17">
        <f t="shared" si="34"/>
        <v>-103339.39554283915</v>
      </c>
    </row>
    <row r="137" spans="1:18">
      <c r="A137" s="18">
        <f t="shared" si="33"/>
        <v>2034</v>
      </c>
      <c r="B137" s="24">
        <f t="shared" si="32"/>
        <v>3900000</v>
      </c>
      <c r="M137" s="17">
        <f>IFERROR((L136/$B136)*$B137,0)</f>
        <v>-672096.06203262624</v>
      </c>
      <c r="N137" s="17">
        <f t="shared" si="34"/>
        <v>-774526.05587465828</v>
      </c>
      <c r="O137" s="17">
        <f t="shared" si="34"/>
        <v>-829338.59859042021</v>
      </c>
      <c r="P137" s="17">
        <f t="shared" si="34"/>
        <v>-723349.29635259602</v>
      </c>
      <c r="Q137" s="17">
        <f t="shared" si="34"/>
        <v>-451017.53247583337</v>
      </c>
      <c r="R137" s="17">
        <f t="shared" si="34"/>
        <v>-228788.73402695762</v>
      </c>
    </row>
    <row r="138" spans="1:18">
      <c r="A138" s="18">
        <f t="shared" si="33"/>
        <v>2035</v>
      </c>
      <c r="B138" s="24">
        <f t="shared" si="32"/>
        <v>3900000</v>
      </c>
      <c r="N138" s="17">
        <f>IFERROR((M137/$B137)*$B138,0)</f>
        <v>-672096.06203262624</v>
      </c>
      <c r="O138" s="17">
        <f t="shared" si="34"/>
        <v>-774526.05587465828</v>
      </c>
      <c r="P138" s="17">
        <f t="shared" si="34"/>
        <v>-829338.59859042021</v>
      </c>
      <c r="Q138" s="17">
        <f t="shared" si="34"/>
        <v>-723349.29635259602</v>
      </c>
      <c r="R138" s="17">
        <f t="shared" si="34"/>
        <v>-451017.53247583337</v>
      </c>
    </row>
    <row r="139" spans="1:18">
      <c r="A139" s="18">
        <f t="shared" si="33"/>
        <v>2036</v>
      </c>
      <c r="B139" s="24">
        <f t="shared" si="32"/>
        <v>3900000</v>
      </c>
      <c r="O139" s="17">
        <f>IFERROR((N138/$B138)*$B139,0)</f>
        <v>-672096.06203262624</v>
      </c>
      <c r="P139" s="17">
        <f t="shared" si="34"/>
        <v>-774526.05587465828</v>
      </c>
      <c r="Q139" s="17">
        <f t="shared" si="34"/>
        <v>-829338.59859042021</v>
      </c>
      <c r="R139" s="17">
        <f t="shared" si="34"/>
        <v>-723349.29635259602</v>
      </c>
    </row>
    <row r="140" spans="1:18">
      <c r="A140" s="18">
        <f t="shared" si="33"/>
        <v>2037</v>
      </c>
      <c r="B140" s="24">
        <f t="shared" si="32"/>
        <v>3900000</v>
      </c>
      <c r="P140" s="17">
        <f>IFERROR((O139/$B139)*$B140,0)</f>
        <v>-672096.06203262624</v>
      </c>
      <c r="Q140" s="17">
        <f t="shared" si="34"/>
        <v>-774526.05587465828</v>
      </c>
      <c r="R140" s="17">
        <f t="shared" si="34"/>
        <v>-829338.59859042021</v>
      </c>
    </row>
    <row r="141" spans="1:18">
      <c r="A141" s="18">
        <f t="shared" si="33"/>
        <v>2038</v>
      </c>
      <c r="B141" s="24">
        <f t="shared" si="32"/>
        <v>3900000</v>
      </c>
      <c r="Q141" s="17">
        <f>IFERROR((P140/$B140)*$B141,0)</f>
        <v>-672096.06203262624</v>
      </c>
      <c r="R141" s="17">
        <f t="shared" si="34"/>
        <v>-774526.05587465828</v>
      </c>
    </row>
    <row r="142" spans="1:18">
      <c r="A142" s="18">
        <f t="shared" si="33"/>
        <v>2039</v>
      </c>
      <c r="B142" s="24">
        <f t="shared" si="32"/>
        <v>3900000</v>
      </c>
      <c r="R142" s="17">
        <f>IFERROR((Q141/$B141)*$B142,0)</f>
        <v>-672096.06203262624</v>
      </c>
    </row>
    <row r="143" spans="1:18">
      <c r="R143" s="17"/>
    </row>
    <row r="144" spans="1:18">
      <c r="A144" s="21" t="s">
        <v>33</v>
      </c>
      <c r="C144" s="20"/>
      <c r="D144" s="20">
        <f>SUM(D128:D142)</f>
        <v>-672096.06203262624</v>
      </c>
      <c r="E144" s="20">
        <f t="shared" ref="E144:R144" si="35">SUM(E128:E142)</f>
        <v>-1446622.1179072845</v>
      </c>
      <c r="F144" s="20">
        <f t="shared" si="35"/>
        <v>-2275960.7164977044</v>
      </c>
      <c r="G144" s="20">
        <f t="shared" si="35"/>
        <v>-2999310.0128503004</v>
      </c>
      <c r="H144" s="20">
        <f t="shared" si="35"/>
        <v>-3450327.5453261342</v>
      </c>
      <c r="I144" s="20">
        <f t="shared" si="35"/>
        <v>-3679116.2793530915</v>
      </c>
      <c r="J144" s="20">
        <f t="shared" si="35"/>
        <v>-3782455.674895931</v>
      </c>
      <c r="K144" s="20">
        <f t="shared" si="35"/>
        <v>-3843247.7774708048</v>
      </c>
      <c r="L144" s="20">
        <f t="shared" si="35"/>
        <v>-3866191.8894104585</v>
      </c>
      <c r="M144" s="20">
        <f t="shared" si="35"/>
        <v>-3882142.1695134984</v>
      </c>
      <c r="N144" s="20">
        <f t="shared" si="35"/>
        <v>-3892741.2512435075</v>
      </c>
      <c r="O144" s="20">
        <f t="shared" si="35"/>
        <v>-3898575.4455783824</v>
      </c>
      <c r="P144" s="20">
        <f t="shared" si="35"/>
        <v>-3902806.2933183312</v>
      </c>
      <c r="Q144" s="20">
        <f t="shared" si="35"/>
        <v>-3903161.9612764232</v>
      </c>
      <c r="R144" s="20">
        <f t="shared" si="35"/>
        <v>-3904692.2896217862</v>
      </c>
    </row>
    <row r="145" spans="1:18">
      <c r="A145" s="21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1:18">
      <c r="A146" s="21" t="s">
        <v>307</v>
      </c>
      <c r="C146" s="20"/>
      <c r="D146" s="20">
        <f>SUM(D144,D84,D60,D36)</f>
        <v>-672096.06203262624</v>
      </c>
      <c r="E146" s="20">
        <f t="shared" ref="E146:R146" si="36">SUM(E144,E84,E60,E36)</f>
        <v>-1446622.1179072845</v>
      </c>
      <c r="F146" s="20">
        <f t="shared" si="36"/>
        <v>-2275960.7164977044</v>
      </c>
      <c r="G146" s="20">
        <f t="shared" si="36"/>
        <v>-2999310.0128503004</v>
      </c>
      <c r="H146" s="20">
        <f t="shared" si="36"/>
        <v>-3450327.5453261342</v>
      </c>
      <c r="I146" s="20">
        <f t="shared" si="36"/>
        <v>-3679116.2793530915</v>
      </c>
      <c r="J146" s="20">
        <f t="shared" si="36"/>
        <v>-3782455.674895931</v>
      </c>
      <c r="K146" s="20">
        <f t="shared" si="36"/>
        <v>-3843247.7774708048</v>
      </c>
      <c r="L146" s="20">
        <f t="shared" si="36"/>
        <v>-3866191.8894104585</v>
      </c>
      <c r="M146" s="20">
        <f t="shared" si="36"/>
        <v>-3882142.1695134984</v>
      </c>
      <c r="N146" s="20">
        <f t="shared" si="36"/>
        <v>-3892741.2512435075</v>
      </c>
      <c r="O146" s="20">
        <f t="shared" si="36"/>
        <v>-3898575.4455783824</v>
      </c>
      <c r="P146" s="20">
        <f t="shared" si="36"/>
        <v>-3902806.2933183312</v>
      </c>
      <c r="Q146" s="20">
        <f t="shared" si="36"/>
        <v>-3903161.9612764232</v>
      </c>
      <c r="R146" s="20">
        <f t="shared" si="36"/>
        <v>-3904692.2896217862</v>
      </c>
    </row>
    <row r="147" spans="1:18">
      <c r="R147" s="17"/>
    </row>
    <row r="148" spans="1:18">
      <c r="A148" s="19" t="s">
        <v>316</v>
      </c>
      <c r="D148" s="17">
        <f>D146</f>
        <v>-672096.06203262624</v>
      </c>
      <c r="E148" s="17">
        <f>SUM($D$146:E147)</f>
        <v>-2118718.1799399108</v>
      </c>
      <c r="F148" s="17">
        <f>SUM($D$146:F147)</f>
        <v>-4394678.8964376152</v>
      </c>
      <c r="G148" s="17">
        <f>SUM($D$146:G147)</f>
        <v>-7393988.9092879156</v>
      </c>
      <c r="H148" s="17">
        <f>SUM($D$146:H147)</f>
        <v>-10844316.454614051</v>
      </c>
      <c r="I148" s="17">
        <f>SUM($D$146:I147)</f>
        <v>-14523432.733967142</v>
      </c>
      <c r="J148" s="17">
        <f>SUM($D$146:J147)</f>
        <v>-18305888.408863075</v>
      </c>
      <c r="K148" s="17">
        <f>SUM($D$146:K147)</f>
        <v>-22149136.18633388</v>
      </c>
      <c r="L148" s="17">
        <f>SUM($D$146:L147)</f>
        <v>-26015328.075744338</v>
      </c>
      <c r="M148" s="17">
        <f>SUM($D$146:M147)</f>
        <v>-29897470.245257836</v>
      </c>
      <c r="N148" s="17">
        <f>SUM($D$146:N147)</f>
        <v>-33790211.496501341</v>
      </c>
      <c r="O148" s="17">
        <f>SUM($D$146:O147)</f>
        <v>-37688786.942079723</v>
      </c>
      <c r="P148" s="17">
        <f>SUM($D$146:P147)</f>
        <v>-41591593.235398054</v>
      </c>
      <c r="Q148" s="17">
        <f>SUM($D$146:Q147)</f>
        <v>-45494755.196674481</v>
      </c>
      <c r="R148" s="17">
        <f>SUM($D$146:R147)</f>
        <v>-49399447.486296266</v>
      </c>
    </row>
    <row r="149" spans="1:18">
      <c r="R149" s="17"/>
    </row>
    <row r="150" spans="1:18">
      <c r="C150" s="39"/>
      <c r="D150" s="39" t="s">
        <v>39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15" t="s">
        <v>30</v>
      </c>
      <c r="B151" s="16" t="s">
        <v>0</v>
      </c>
      <c r="C151" s="15"/>
      <c r="D151" s="15">
        <f t="shared" ref="D151:R151" si="37">D$100</f>
        <v>2025</v>
      </c>
      <c r="E151" s="15">
        <f t="shared" si="37"/>
        <v>2026</v>
      </c>
      <c r="F151" s="15">
        <f t="shared" si="37"/>
        <v>2027</v>
      </c>
      <c r="G151" s="15">
        <f t="shared" si="37"/>
        <v>2028</v>
      </c>
      <c r="H151" s="15">
        <f t="shared" si="37"/>
        <v>2029</v>
      </c>
      <c r="I151" s="15">
        <f t="shared" si="37"/>
        <v>2030</v>
      </c>
      <c r="J151" s="15">
        <f t="shared" si="37"/>
        <v>2031</v>
      </c>
      <c r="K151" s="15">
        <f t="shared" si="37"/>
        <v>2032</v>
      </c>
      <c r="L151" s="15">
        <f t="shared" si="37"/>
        <v>2033</v>
      </c>
      <c r="M151" s="15">
        <f t="shared" si="37"/>
        <v>2034</v>
      </c>
      <c r="N151" s="15">
        <f t="shared" si="37"/>
        <v>2035</v>
      </c>
      <c r="O151" s="15">
        <f t="shared" si="37"/>
        <v>2036</v>
      </c>
      <c r="P151" s="15">
        <f t="shared" si="37"/>
        <v>2037</v>
      </c>
      <c r="Q151" s="15">
        <f t="shared" si="37"/>
        <v>2038</v>
      </c>
      <c r="R151" s="15">
        <f t="shared" si="37"/>
        <v>2039</v>
      </c>
    </row>
    <row r="152" spans="1:18">
      <c r="A152" s="18">
        <f>A101</f>
        <v>2025</v>
      </c>
      <c r="B152" s="24">
        <f t="shared" ref="B152:B166" si="38">B128</f>
        <v>3900000</v>
      </c>
      <c r="D152" s="17">
        <f>VLOOKUP(D$100,'Aggregated Median CA data'!$D$126:$M$140,8,0)*$B152</f>
        <v>0</v>
      </c>
      <c r="E152" s="17">
        <f>VLOOKUP(E$100,'Aggregated Median CA data'!$D$126:$M$140,8,0)*$B152</f>
        <v>3000.5571181060814</v>
      </c>
      <c r="F152" s="17">
        <f>VLOOKUP(F$100,'Aggregated Median CA data'!$D$126:$M$140,8,0)*$B152</f>
        <v>82258.166949229009</v>
      </c>
      <c r="G152" s="17">
        <f>VLOOKUP(G$100,'Aggregated Median CA data'!$D$126:$M$140,8,0)*$B152</f>
        <v>333560.05143989291</v>
      </c>
      <c r="H152" s="17">
        <f>VLOOKUP(H$100,'Aggregated Median CA data'!$D$126:$M$140,8,0)*$B152</f>
        <v>653188.93348557851</v>
      </c>
      <c r="I152" s="17">
        <f>VLOOKUP(I$100,'Aggregated Median CA data'!$D$126:$M$140,8,0)*$B152</f>
        <v>715219.05297759338</v>
      </c>
      <c r="J152" s="17">
        <f>VLOOKUP(J$100,'Aggregated Median CA data'!$D$126:$M$140,8,0)*$B152</f>
        <v>970547.62279105966</v>
      </c>
      <c r="K152" s="17">
        <f>VLOOKUP(K$100,'Aggregated Median CA data'!$D$126:$M$140,8,0)*$B152</f>
        <v>944682.42299342935</v>
      </c>
      <c r="L152" s="17">
        <f>VLOOKUP(L$100,'Aggregated Median CA data'!$D$126:$M$140,8,0)*$B152</f>
        <v>773705.95908578869</v>
      </c>
      <c r="M152" s="17">
        <f>VLOOKUP(M$100,'Aggregated Median CA data'!$D$126:$M$140,8,0)*$B152</f>
        <v>573388.43043284176</v>
      </c>
      <c r="N152" s="17">
        <f>VLOOKUP(N$100,'Aggregated Median CA data'!$D$126:$M$140,8,0)*$B152</f>
        <v>593319.8916002562</v>
      </c>
      <c r="O152" s="17">
        <f>VLOOKUP(O$100,'Aggregated Median CA data'!$D$126:$M$140,8,0)*$B152</f>
        <v>321133.60348137782</v>
      </c>
      <c r="P152" s="17">
        <f>VLOOKUP(P$100,'Aggregated Median CA data'!$D$126:$M$140,8,0)*$B152</f>
        <v>248559.63223639978</v>
      </c>
      <c r="Q152" s="17">
        <f>VLOOKUP(Q$100,'Aggregated Median CA data'!$D$126:$M$140,8,0)*$B152</f>
        <v>128921.55042269395</v>
      </c>
      <c r="R152" s="17">
        <f>VLOOKUP(R$100,'Aggregated Median CA data'!$D$126:$M$140,8,0)*$B152</f>
        <v>118160.25406704532</v>
      </c>
    </row>
    <row r="153" spans="1:18">
      <c r="A153" s="18">
        <f t="shared" ref="A153:A166" si="39">A102</f>
        <v>2026</v>
      </c>
      <c r="B153" s="24">
        <f t="shared" si="38"/>
        <v>3900000</v>
      </c>
      <c r="C153" s="22"/>
      <c r="D153" s="22"/>
      <c r="E153" s="17">
        <f>IFERROR((D152/$B152)*$B153,0)</f>
        <v>0</v>
      </c>
      <c r="F153" s="17">
        <f t="shared" ref="F153:R165" si="40">IFERROR((E152/$B152)*$B153,0)</f>
        <v>3000.5571181060814</v>
      </c>
      <c r="G153" s="17">
        <f t="shared" si="40"/>
        <v>82258.166949229009</v>
      </c>
      <c r="H153" s="17">
        <f t="shared" si="40"/>
        <v>333560.05143989291</v>
      </c>
      <c r="I153" s="17">
        <f t="shared" si="40"/>
        <v>653188.93348557851</v>
      </c>
      <c r="J153" s="17">
        <f t="shared" si="40"/>
        <v>715219.05297759338</v>
      </c>
      <c r="K153" s="17">
        <f t="shared" si="40"/>
        <v>970547.62279105966</v>
      </c>
      <c r="L153" s="17">
        <f t="shared" si="40"/>
        <v>944682.42299342935</v>
      </c>
      <c r="M153" s="17">
        <f t="shared" si="40"/>
        <v>773705.95908578869</v>
      </c>
      <c r="N153" s="17">
        <f t="shared" si="40"/>
        <v>573388.43043284176</v>
      </c>
      <c r="O153" s="17">
        <f t="shared" si="40"/>
        <v>593319.8916002562</v>
      </c>
      <c r="P153" s="17">
        <f t="shared" si="40"/>
        <v>321133.60348137782</v>
      </c>
      <c r="Q153" s="17">
        <f t="shared" si="40"/>
        <v>248559.63223639978</v>
      </c>
      <c r="R153" s="17">
        <f t="shared" si="40"/>
        <v>128921.55042269395</v>
      </c>
    </row>
    <row r="154" spans="1:18">
      <c r="A154" s="18">
        <f t="shared" si="39"/>
        <v>2027</v>
      </c>
      <c r="B154" s="24">
        <f t="shared" si="38"/>
        <v>3900000</v>
      </c>
      <c r="C154" s="22"/>
      <c r="D154" s="22"/>
      <c r="E154" s="22"/>
      <c r="F154" s="17">
        <f>IFERROR((E153/$B153)*$B154,0)</f>
        <v>0</v>
      </c>
      <c r="G154" s="17">
        <f t="shared" si="40"/>
        <v>3000.5571181060814</v>
      </c>
      <c r="H154" s="17">
        <f t="shared" si="40"/>
        <v>82258.166949229009</v>
      </c>
      <c r="I154" s="17">
        <f t="shared" si="40"/>
        <v>333560.05143989291</v>
      </c>
      <c r="J154" s="17">
        <f t="shared" si="40"/>
        <v>653188.93348557851</v>
      </c>
      <c r="K154" s="17">
        <f t="shared" si="40"/>
        <v>715219.05297759338</v>
      </c>
      <c r="L154" s="17">
        <f t="shared" si="40"/>
        <v>970547.62279105966</v>
      </c>
      <c r="M154" s="17">
        <f t="shared" si="40"/>
        <v>944682.42299342935</v>
      </c>
      <c r="N154" s="17">
        <f t="shared" si="40"/>
        <v>773705.95908578869</v>
      </c>
      <c r="O154" s="17">
        <f t="shared" si="40"/>
        <v>573388.43043284176</v>
      </c>
      <c r="P154" s="17">
        <f t="shared" si="40"/>
        <v>593319.8916002562</v>
      </c>
      <c r="Q154" s="17">
        <f t="shared" si="40"/>
        <v>321133.60348137782</v>
      </c>
      <c r="R154" s="17">
        <f t="shared" si="40"/>
        <v>248559.63223639978</v>
      </c>
    </row>
    <row r="155" spans="1:18">
      <c r="A155" s="18">
        <f t="shared" si="39"/>
        <v>2028</v>
      </c>
      <c r="B155" s="24">
        <f t="shared" si="38"/>
        <v>3900000</v>
      </c>
      <c r="C155" s="22"/>
      <c r="D155" s="22"/>
      <c r="E155" s="22"/>
      <c r="F155" s="22"/>
      <c r="G155" s="17">
        <f>IFERROR((F154/$B154)*$B155,0)</f>
        <v>0</v>
      </c>
      <c r="H155" s="17">
        <f t="shared" si="40"/>
        <v>3000.5571181060814</v>
      </c>
      <c r="I155" s="17">
        <f t="shared" si="40"/>
        <v>82258.166949229009</v>
      </c>
      <c r="J155" s="17">
        <f t="shared" si="40"/>
        <v>333560.05143989291</v>
      </c>
      <c r="K155" s="17">
        <f t="shared" si="40"/>
        <v>653188.93348557851</v>
      </c>
      <c r="L155" s="17">
        <f t="shared" si="40"/>
        <v>715219.05297759338</v>
      </c>
      <c r="M155" s="17">
        <f t="shared" si="40"/>
        <v>970547.62279105966</v>
      </c>
      <c r="N155" s="17">
        <f t="shared" si="40"/>
        <v>944682.42299342935</v>
      </c>
      <c r="O155" s="17">
        <f t="shared" si="40"/>
        <v>773705.95908578869</v>
      </c>
      <c r="P155" s="17">
        <f t="shared" si="40"/>
        <v>573388.43043284176</v>
      </c>
      <c r="Q155" s="17">
        <f t="shared" si="40"/>
        <v>593319.8916002562</v>
      </c>
      <c r="R155" s="17">
        <f t="shared" si="40"/>
        <v>321133.60348137782</v>
      </c>
    </row>
    <row r="156" spans="1:18">
      <c r="A156" s="18">
        <f t="shared" si="39"/>
        <v>2029</v>
      </c>
      <c r="B156" s="24">
        <f t="shared" si="38"/>
        <v>3900000</v>
      </c>
      <c r="C156" s="22"/>
      <c r="D156" s="22"/>
      <c r="E156" s="22"/>
      <c r="F156" s="22"/>
      <c r="G156" s="22"/>
      <c r="H156" s="17">
        <f>IFERROR((G155/$B155)*$B156,0)</f>
        <v>0</v>
      </c>
      <c r="I156" s="17">
        <f t="shared" si="40"/>
        <v>3000.5571181060814</v>
      </c>
      <c r="J156" s="17">
        <f t="shared" si="40"/>
        <v>82258.166949229009</v>
      </c>
      <c r="K156" s="17">
        <f t="shared" si="40"/>
        <v>333560.05143989291</v>
      </c>
      <c r="L156" s="17">
        <f t="shared" si="40"/>
        <v>653188.93348557851</v>
      </c>
      <c r="M156" s="17">
        <f t="shared" si="40"/>
        <v>715219.05297759338</v>
      </c>
      <c r="N156" s="17">
        <f t="shared" si="40"/>
        <v>970547.62279105966</v>
      </c>
      <c r="O156" s="17">
        <f t="shared" si="40"/>
        <v>944682.42299342935</v>
      </c>
      <c r="P156" s="17">
        <f t="shared" si="40"/>
        <v>773705.95908578869</v>
      </c>
      <c r="Q156" s="17">
        <f t="shared" si="40"/>
        <v>573388.43043284176</v>
      </c>
      <c r="R156" s="17">
        <f t="shared" si="40"/>
        <v>593319.8916002562</v>
      </c>
    </row>
    <row r="157" spans="1:18">
      <c r="A157" s="18">
        <f t="shared" si="39"/>
        <v>2030</v>
      </c>
      <c r="B157" s="24">
        <f t="shared" si="38"/>
        <v>3900000</v>
      </c>
      <c r="C157" s="22"/>
      <c r="D157" s="22"/>
      <c r="E157" s="22"/>
      <c r="F157" s="22"/>
      <c r="G157" s="22"/>
      <c r="H157" s="22"/>
      <c r="I157" s="17">
        <f>IFERROR((H156/$B156)*$B157,0)</f>
        <v>0</v>
      </c>
      <c r="J157" s="17">
        <f t="shared" si="40"/>
        <v>3000.5571181060814</v>
      </c>
      <c r="K157" s="17">
        <f t="shared" si="40"/>
        <v>82258.166949229009</v>
      </c>
      <c r="L157" s="17">
        <f t="shared" si="40"/>
        <v>333560.05143989291</v>
      </c>
      <c r="M157" s="17">
        <f t="shared" si="40"/>
        <v>653188.93348557851</v>
      </c>
      <c r="N157" s="17">
        <f t="shared" si="40"/>
        <v>715219.05297759338</v>
      </c>
      <c r="O157" s="17">
        <f t="shared" si="40"/>
        <v>970547.62279105966</v>
      </c>
      <c r="P157" s="17">
        <f t="shared" si="40"/>
        <v>944682.42299342935</v>
      </c>
      <c r="Q157" s="17">
        <f t="shared" si="40"/>
        <v>773705.95908578869</v>
      </c>
      <c r="R157" s="17">
        <f t="shared" si="40"/>
        <v>573388.43043284176</v>
      </c>
    </row>
    <row r="158" spans="1:18">
      <c r="A158" s="18">
        <f t="shared" si="39"/>
        <v>2031</v>
      </c>
      <c r="B158" s="24">
        <f t="shared" si="38"/>
        <v>3900000</v>
      </c>
      <c r="C158" s="22"/>
      <c r="D158" s="22"/>
      <c r="E158" s="22"/>
      <c r="F158" s="22"/>
      <c r="G158" s="22"/>
      <c r="H158" s="22"/>
      <c r="I158" s="22"/>
      <c r="J158" s="17">
        <f>IFERROR((I157/$B157)*$B158,0)</f>
        <v>0</v>
      </c>
      <c r="K158" s="17">
        <f t="shared" si="40"/>
        <v>3000.5571181060814</v>
      </c>
      <c r="L158" s="17">
        <f t="shared" si="40"/>
        <v>82258.166949229009</v>
      </c>
      <c r="M158" s="17">
        <f t="shared" si="40"/>
        <v>333560.05143989291</v>
      </c>
      <c r="N158" s="17">
        <f t="shared" si="40"/>
        <v>653188.93348557851</v>
      </c>
      <c r="O158" s="17">
        <f t="shared" si="40"/>
        <v>715219.05297759338</v>
      </c>
      <c r="P158" s="17">
        <f t="shared" si="40"/>
        <v>970547.62279105966</v>
      </c>
      <c r="Q158" s="17">
        <f t="shared" si="40"/>
        <v>944682.42299342935</v>
      </c>
      <c r="R158" s="17">
        <f t="shared" si="40"/>
        <v>773705.95908578869</v>
      </c>
    </row>
    <row r="159" spans="1:18">
      <c r="A159" s="18">
        <f t="shared" si="39"/>
        <v>2032</v>
      </c>
      <c r="B159" s="24">
        <f t="shared" si="38"/>
        <v>3900000</v>
      </c>
      <c r="K159" s="17">
        <f>IFERROR((J158/$B158)*$B159,0)</f>
        <v>0</v>
      </c>
      <c r="L159" s="17">
        <f t="shared" si="40"/>
        <v>3000.5571181060814</v>
      </c>
      <c r="M159" s="17">
        <f t="shared" si="40"/>
        <v>82258.166949229009</v>
      </c>
      <c r="N159" s="17">
        <f t="shared" si="40"/>
        <v>333560.05143989291</v>
      </c>
      <c r="O159" s="17">
        <f t="shared" si="40"/>
        <v>653188.93348557851</v>
      </c>
      <c r="P159" s="17">
        <f t="shared" si="40"/>
        <v>715219.05297759338</v>
      </c>
      <c r="Q159" s="17">
        <f t="shared" si="40"/>
        <v>970547.62279105966</v>
      </c>
      <c r="R159" s="17">
        <f t="shared" si="40"/>
        <v>944682.42299342935</v>
      </c>
    </row>
    <row r="160" spans="1:18">
      <c r="A160" s="18">
        <f t="shared" si="39"/>
        <v>2033</v>
      </c>
      <c r="B160" s="24">
        <f t="shared" si="38"/>
        <v>3900000</v>
      </c>
      <c r="L160" s="17">
        <f>IFERROR((K159/$B159)*$B160,0)</f>
        <v>0</v>
      </c>
      <c r="M160" s="17">
        <f t="shared" si="40"/>
        <v>3000.5571181060814</v>
      </c>
      <c r="N160" s="17">
        <f t="shared" si="40"/>
        <v>82258.166949229009</v>
      </c>
      <c r="O160" s="17">
        <f t="shared" si="40"/>
        <v>333560.05143989291</v>
      </c>
      <c r="P160" s="17">
        <f t="shared" si="40"/>
        <v>653188.93348557851</v>
      </c>
      <c r="Q160" s="17">
        <f t="shared" si="40"/>
        <v>715219.05297759338</v>
      </c>
      <c r="R160" s="17">
        <f t="shared" si="40"/>
        <v>970547.62279105966</v>
      </c>
    </row>
    <row r="161" spans="1:18">
      <c r="A161" s="18">
        <f t="shared" si="39"/>
        <v>2034</v>
      </c>
      <c r="B161" s="24">
        <f t="shared" si="38"/>
        <v>3900000</v>
      </c>
      <c r="M161" s="17">
        <f>IFERROR((L160/$B160)*$B161,0)</f>
        <v>0</v>
      </c>
      <c r="N161" s="17">
        <f t="shared" si="40"/>
        <v>3000.5571181060814</v>
      </c>
      <c r="O161" s="17">
        <f t="shared" si="40"/>
        <v>82258.166949229009</v>
      </c>
      <c r="P161" s="17">
        <f t="shared" si="40"/>
        <v>333560.05143989291</v>
      </c>
      <c r="Q161" s="17">
        <f t="shared" si="40"/>
        <v>653188.93348557851</v>
      </c>
      <c r="R161" s="17">
        <f t="shared" si="40"/>
        <v>715219.05297759338</v>
      </c>
    </row>
    <row r="162" spans="1:18">
      <c r="A162" s="18">
        <f t="shared" si="39"/>
        <v>2035</v>
      </c>
      <c r="B162" s="24">
        <f t="shared" si="38"/>
        <v>3900000</v>
      </c>
      <c r="N162" s="17">
        <f>IFERROR((M161/$B161)*$B162,0)</f>
        <v>0</v>
      </c>
      <c r="O162" s="17">
        <f t="shared" si="40"/>
        <v>3000.5571181060814</v>
      </c>
      <c r="P162" s="17">
        <f t="shared" si="40"/>
        <v>82258.166949229009</v>
      </c>
      <c r="Q162" s="17">
        <f t="shared" si="40"/>
        <v>333560.05143989291</v>
      </c>
      <c r="R162" s="17">
        <f t="shared" si="40"/>
        <v>653188.93348557851</v>
      </c>
    </row>
    <row r="163" spans="1:18">
      <c r="A163" s="18">
        <f t="shared" si="39"/>
        <v>2036</v>
      </c>
      <c r="B163" s="24">
        <f t="shared" si="38"/>
        <v>3900000</v>
      </c>
      <c r="O163" s="17">
        <f>IFERROR((N162/$B162)*$B163,0)</f>
        <v>0</v>
      </c>
      <c r="P163" s="17">
        <f t="shared" si="40"/>
        <v>3000.5571181060814</v>
      </c>
      <c r="Q163" s="17">
        <f t="shared" si="40"/>
        <v>82258.166949229009</v>
      </c>
      <c r="R163" s="17">
        <f t="shared" si="40"/>
        <v>333560.05143989291</v>
      </c>
    </row>
    <row r="164" spans="1:18">
      <c r="A164" s="18">
        <f t="shared" si="39"/>
        <v>2037</v>
      </c>
      <c r="B164" s="24">
        <f t="shared" si="38"/>
        <v>3900000</v>
      </c>
      <c r="P164" s="17">
        <f>IFERROR((O163/$B163)*$B164,0)</f>
        <v>0</v>
      </c>
      <c r="Q164" s="17">
        <f t="shared" si="40"/>
        <v>3000.5571181060814</v>
      </c>
      <c r="R164" s="17">
        <f t="shared" si="40"/>
        <v>82258.166949229009</v>
      </c>
    </row>
    <row r="165" spans="1:18">
      <c r="A165" s="18">
        <f t="shared" si="39"/>
        <v>2038</v>
      </c>
      <c r="B165" s="24">
        <f t="shared" si="38"/>
        <v>3900000</v>
      </c>
      <c r="Q165" s="17">
        <f>IFERROR((P164/$B164)*$B165,0)</f>
        <v>0</v>
      </c>
      <c r="R165" s="17">
        <f t="shared" si="40"/>
        <v>3000.5571181060814</v>
      </c>
    </row>
    <row r="166" spans="1:18">
      <c r="A166" s="18">
        <f t="shared" si="39"/>
        <v>2039</v>
      </c>
      <c r="B166" s="24">
        <f t="shared" si="38"/>
        <v>3900000</v>
      </c>
      <c r="Q166" s="22"/>
      <c r="R166" s="17">
        <f>IFERROR((Q165/$B165)*$B166,0)</f>
        <v>0</v>
      </c>
    </row>
    <row r="167" spans="1:18">
      <c r="R167" s="17"/>
    </row>
    <row r="168" spans="1:18">
      <c r="A168" s="21" t="s">
        <v>33</v>
      </c>
      <c r="C168" s="20"/>
      <c r="D168" s="20">
        <f>SUM(D152:D166)</f>
        <v>0</v>
      </c>
      <c r="E168" s="20">
        <f t="shared" ref="E168:R168" si="41">SUM(E152:E166)</f>
        <v>3000.5571181060814</v>
      </c>
      <c r="F168" s="20">
        <f t="shared" si="41"/>
        <v>85258.72406733509</v>
      </c>
      <c r="G168" s="20">
        <f t="shared" si="41"/>
        <v>418818.77550722804</v>
      </c>
      <c r="H168" s="20">
        <f t="shared" si="41"/>
        <v>1072007.7089928067</v>
      </c>
      <c r="I168" s="20">
        <f t="shared" si="41"/>
        <v>1787226.7619704001</v>
      </c>
      <c r="J168" s="20">
        <f t="shared" si="41"/>
        <v>2757774.3847614597</v>
      </c>
      <c r="K168" s="20">
        <f t="shared" si="41"/>
        <v>3702456.8077548887</v>
      </c>
      <c r="L168" s="20">
        <f t="shared" si="41"/>
        <v>4476162.7668406777</v>
      </c>
      <c r="M168" s="20">
        <f t="shared" si="41"/>
        <v>5049551.1972735189</v>
      </c>
      <c r="N168" s="20">
        <f t="shared" si="41"/>
        <v>5642871.0888737757</v>
      </c>
      <c r="O168" s="20">
        <f t="shared" si="41"/>
        <v>5964004.6923551532</v>
      </c>
      <c r="P168" s="20">
        <f t="shared" si="41"/>
        <v>6212564.3245915528</v>
      </c>
      <c r="Q168" s="20">
        <f t="shared" si="41"/>
        <v>6341485.8750142474</v>
      </c>
      <c r="R168" s="20">
        <f t="shared" si="41"/>
        <v>6459646.1290812921</v>
      </c>
    </row>
    <row r="169" spans="1:18">
      <c r="A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</row>
    <row r="170" spans="1:18">
      <c r="A170" s="21" t="s">
        <v>307</v>
      </c>
      <c r="C170" s="20"/>
      <c r="D170" s="20">
        <f>SUM(D168,D89,D65,D41)</f>
        <v>0</v>
      </c>
      <c r="E170" s="20">
        <f t="shared" ref="E170:R170" si="42">SUM(E168,E89,E65,E41)</f>
        <v>3000.5571181060814</v>
      </c>
      <c r="F170" s="20">
        <f t="shared" si="42"/>
        <v>85258.72406733509</v>
      </c>
      <c r="G170" s="20">
        <f t="shared" si="42"/>
        <v>418818.77550722804</v>
      </c>
      <c r="H170" s="20">
        <f t="shared" si="42"/>
        <v>1072007.7089928067</v>
      </c>
      <c r="I170" s="20">
        <f t="shared" si="42"/>
        <v>1787226.7619704001</v>
      </c>
      <c r="J170" s="20">
        <f t="shared" si="42"/>
        <v>2757774.3847614597</v>
      </c>
      <c r="K170" s="20">
        <f t="shared" si="42"/>
        <v>3702456.8077548887</v>
      </c>
      <c r="L170" s="20">
        <f t="shared" si="42"/>
        <v>4476162.7668406777</v>
      </c>
      <c r="M170" s="20">
        <f t="shared" si="42"/>
        <v>5049551.1972735189</v>
      </c>
      <c r="N170" s="20">
        <f t="shared" si="42"/>
        <v>5642871.0888737757</v>
      </c>
      <c r="O170" s="20">
        <f t="shared" si="42"/>
        <v>5964004.6923551532</v>
      </c>
      <c r="P170" s="20">
        <f t="shared" si="42"/>
        <v>6212564.3245915528</v>
      </c>
      <c r="Q170" s="20">
        <f t="shared" si="42"/>
        <v>6341485.8750142474</v>
      </c>
      <c r="R170" s="20">
        <f t="shared" si="42"/>
        <v>6459646.1290812921</v>
      </c>
    </row>
    <row r="171" spans="1:18">
      <c r="A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</row>
    <row r="172" spans="1:18">
      <c r="A172" s="21" t="s">
        <v>315</v>
      </c>
      <c r="C172" s="20"/>
      <c r="D172" s="20">
        <f>D170</f>
        <v>0</v>
      </c>
      <c r="E172" s="20">
        <f>SUM($D$170:E170)</f>
        <v>3000.5571181060814</v>
      </c>
      <c r="F172" s="20">
        <f>SUM($D$170:F170)</f>
        <v>88259.28118544117</v>
      </c>
      <c r="G172" s="20">
        <f>SUM($D$170:G170)</f>
        <v>507078.05669266923</v>
      </c>
      <c r="H172" s="20">
        <f>SUM($D$170:H170)</f>
        <v>1579085.7656854759</v>
      </c>
      <c r="I172" s="20">
        <f>SUM($D$170:I170)</f>
        <v>3366312.5276558762</v>
      </c>
      <c r="J172" s="20">
        <f>SUM($D$170:J170)</f>
        <v>6124086.9124173354</v>
      </c>
      <c r="K172" s="20">
        <f>SUM($D$170:K170)</f>
        <v>9826543.7201722246</v>
      </c>
      <c r="L172" s="20">
        <f>SUM($D$170:L170)</f>
        <v>14302706.487012902</v>
      </c>
      <c r="M172" s="20">
        <f>SUM($D$170:M170)</f>
        <v>19352257.684286423</v>
      </c>
      <c r="N172" s="20">
        <f>SUM($D$170:N170)</f>
        <v>24995128.773160197</v>
      </c>
      <c r="O172" s="20">
        <f>SUM($D$170:O170)</f>
        <v>30959133.465515349</v>
      </c>
      <c r="P172" s="20">
        <f>SUM($D$170:P170)</f>
        <v>37171697.7901069</v>
      </c>
      <c r="Q172" s="20">
        <f>SUM($D$170:Q170)</f>
        <v>43513183.665121146</v>
      </c>
      <c r="R172" s="20">
        <f>SUM($D$170:R170)</f>
        <v>49972829.794202439</v>
      </c>
    </row>
    <row r="173" spans="1:18">
      <c r="R173" s="17"/>
    </row>
    <row r="174" spans="1:18">
      <c r="C174" s="39"/>
      <c r="D174" s="39" t="s">
        <v>2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15" t="s">
        <v>30</v>
      </c>
      <c r="B175" s="16" t="s">
        <v>0</v>
      </c>
      <c r="C175" s="15"/>
      <c r="D175" s="15">
        <f t="shared" ref="D175:R175" si="43">D$100</f>
        <v>2025</v>
      </c>
      <c r="E175" s="15">
        <f t="shared" si="43"/>
        <v>2026</v>
      </c>
      <c r="F175" s="15">
        <f t="shared" si="43"/>
        <v>2027</v>
      </c>
      <c r="G175" s="15">
        <f t="shared" si="43"/>
        <v>2028</v>
      </c>
      <c r="H175" s="15">
        <f t="shared" si="43"/>
        <v>2029</v>
      </c>
      <c r="I175" s="15">
        <f t="shared" si="43"/>
        <v>2030</v>
      </c>
      <c r="J175" s="15">
        <f t="shared" si="43"/>
        <v>2031</v>
      </c>
      <c r="K175" s="15">
        <f t="shared" si="43"/>
        <v>2032</v>
      </c>
      <c r="L175" s="15">
        <f t="shared" si="43"/>
        <v>2033</v>
      </c>
      <c r="M175" s="15">
        <f t="shared" si="43"/>
        <v>2034</v>
      </c>
      <c r="N175" s="15">
        <f t="shared" si="43"/>
        <v>2035</v>
      </c>
      <c r="O175" s="15">
        <f t="shared" si="43"/>
        <v>2036</v>
      </c>
      <c r="P175" s="15">
        <f t="shared" si="43"/>
        <v>2037</v>
      </c>
      <c r="Q175" s="15">
        <f t="shared" si="43"/>
        <v>2038</v>
      </c>
      <c r="R175" s="15">
        <f t="shared" si="43"/>
        <v>2039</v>
      </c>
    </row>
    <row r="176" spans="1:18">
      <c r="A176" s="18">
        <f t="shared" ref="A176:A190" si="44">A101</f>
        <v>2025</v>
      </c>
      <c r="B176" s="24">
        <f t="shared" ref="B176:B190" si="45">B152</f>
        <v>3900000</v>
      </c>
      <c r="D176" s="17">
        <f>VLOOKUP(D$100,'Aggregated Median CA data'!$D$126:$M$140,9,0)*$B176</f>
        <v>-672096.06203262624</v>
      </c>
      <c r="E176" s="17">
        <f>VLOOKUP(E$100,'Aggregated Median CA data'!$D$126:$M$140,9,0)*$B176</f>
        <v>-771525.49875655223</v>
      </c>
      <c r="F176" s="17">
        <f>VLOOKUP(F$100,'Aggregated Median CA data'!$D$126:$M$140,9,0)*$B176</f>
        <v>-747080.43164119113</v>
      </c>
      <c r="G176" s="17">
        <f>VLOOKUP(G$100,'Aggregated Median CA data'!$D$126:$M$140,9,0)*$B176</f>
        <v>-389789.24491270311</v>
      </c>
      <c r="H176" s="17">
        <f>VLOOKUP(H$100,'Aggregated Median CA data'!$D$126:$M$140,9,0)*$B176</f>
        <v>202171.40100974514</v>
      </c>
      <c r="I176" s="17">
        <f>VLOOKUP(I$100,'Aggregated Median CA data'!$D$126:$M$140,9,0)*$B176</f>
        <v>486430.31895063573</v>
      </c>
      <c r="J176" s="17">
        <f>VLOOKUP(J$100,'Aggregated Median CA data'!$D$126:$M$140,9,0)*$B176</f>
        <v>867208.22724822059</v>
      </c>
      <c r="K176" s="17">
        <f>VLOOKUP(K$100,'Aggregated Median CA data'!$D$126:$M$140,9,0)*$B176</f>
        <v>883890.32041855541</v>
      </c>
      <c r="L176" s="17">
        <f>VLOOKUP(L$100,'Aggregated Median CA data'!$D$126:$M$140,9,0)*$B176</f>
        <v>750761.84714613482</v>
      </c>
      <c r="M176" s="17">
        <f>VLOOKUP(M$100,'Aggregated Median CA data'!$D$126:$M$140,9,0)*$B176</f>
        <v>557438.15032980207</v>
      </c>
      <c r="N176" s="17">
        <f>VLOOKUP(N$100,'Aggregated Median CA data'!$D$126:$M$140,9,0)*$B176</f>
        <v>582720.8098702468</v>
      </c>
      <c r="O176" s="17">
        <f>VLOOKUP(O$100,'Aggregated Median CA data'!$D$126:$M$140,9,0)*$B176</f>
        <v>315299.40914650343</v>
      </c>
      <c r="P176" s="17">
        <f>VLOOKUP(P$100,'Aggregated Median CA data'!$D$126:$M$140,9,0)*$B176</f>
        <v>244328.78449645071</v>
      </c>
      <c r="Q176" s="17">
        <f>VLOOKUP(Q$100,'Aggregated Median CA data'!$D$126:$M$140,9,0)*$B176</f>
        <v>128565.88246460153</v>
      </c>
      <c r="R176" s="17">
        <f>VLOOKUP(R$100,'Aggregated Median CA data'!$D$126:$M$140,9,0)*$B176</f>
        <v>116629.92572168265</v>
      </c>
    </row>
    <row r="177" spans="1:18">
      <c r="A177" s="18">
        <f t="shared" si="44"/>
        <v>2026</v>
      </c>
      <c r="B177" s="24">
        <f t="shared" si="45"/>
        <v>3900000</v>
      </c>
      <c r="C177" s="22"/>
      <c r="D177" s="22"/>
      <c r="E177" s="17">
        <f>IFERROR((D176/$B176)*$B177,0)</f>
        <v>-672096.06203262624</v>
      </c>
      <c r="F177" s="17">
        <f t="shared" ref="F177:R189" si="46">IFERROR((E176/$B176)*$B177,0)</f>
        <v>-771525.49875655223</v>
      </c>
      <c r="G177" s="17">
        <f t="shared" si="46"/>
        <v>-747080.43164119113</v>
      </c>
      <c r="H177" s="17">
        <f t="shared" si="46"/>
        <v>-389789.24491270311</v>
      </c>
      <c r="I177" s="17">
        <f t="shared" si="46"/>
        <v>202171.40100974514</v>
      </c>
      <c r="J177" s="17">
        <f t="shared" si="46"/>
        <v>486430.31895063573</v>
      </c>
      <c r="K177" s="17">
        <f t="shared" si="46"/>
        <v>867208.22724822059</v>
      </c>
      <c r="L177" s="17">
        <f t="shared" si="46"/>
        <v>883890.32041855541</v>
      </c>
      <c r="M177" s="17">
        <f t="shared" si="46"/>
        <v>750761.84714613482</v>
      </c>
      <c r="N177" s="17">
        <f t="shared" si="46"/>
        <v>557438.15032980207</v>
      </c>
      <c r="O177" s="17">
        <f t="shared" si="46"/>
        <v>582720.8098702468</v>
      </c>
      <c r="P177" s="17">
        <f t="shared" si="46"/>
        <v>315299.40914650343</v>
      </c>
      <c r="Q177" s="17">
        <f t="shared" si="46"/>
        <v>244328.78449645071</v>
      </c>
      <c r="R177" s="17">
        <f t="shared" si="46"/>
        <v>128565.88246460153</v>
      </c>
    </row>
    <row r="178" spans="1:18">
      <c r="A178" s="18">
        <f t="shared" si="44"/>
        <v>2027</v>
      </c>
      <c r="B178" s="24">
        <f t="shared" si="45"/>
        <v>3900000</v>
      </c>
      <c r="C178" s="22"/>
      <c r="D178" s="22"/>
      <c r="E178" s="22"/>
      <c r="F178" s="17">
        <f>IFERROR((E177/$B177)*$B178,0)</f>
        <v>-672096.06203262624</v>
      </c>
      <c r="G178" s="17">
        <f t="shared" si="46"/>
        <v>-771525.49875655223</v>
      </c>
      <c r="H178" s="17">
        <f t="shared" si="46"/>
        <v>-747080.43164119113</v>
      </c>
      <c r="I178" s="17">
        <f t="shared" si="46"/>
        <v>-389789.24491270311</v>
      </c>
      <c r="J178" s="17">
        <f t="shared" si="46"/>
        <v>202171.40100974514</v>
      </c>
      <c r="K178" s="17">
        <f t="shared" si="46"/>
        <v>486430.31895063573</v>
      </c>
      <c r="L178" s="17">
        <f t="shared" si="46"/>
        <v>867208.22724822059</v>
      </c>
      <c r="M178" s="17">
        <f t="shared" si="46"/>
        <v>883890.32041855541</v>
      </c>
      <c r="N178" s="17">
        <f t="shared" si="46"/>
        <v>750761.84714613482</v>
      </c>
      <c r="O178" s="17">
        <f t="shared" si="46"/>
        <v>557438.15032980207</v>
      </c>
      <c r="P178" s="17">
        <f t="shared" si="46"/>
        <v>582720.8098702468</v>
      </c>
      <c r="Q178" s="17">
        <f t="shared" si="46"/>
        <v>315299.40914650343</v>
      </c>
      <c r="R178" s="17">
        <f t="shared" si="46"/>
        <v>244328.78449645071</v>
      </c>
    </row>
    <row r="179" spans="1:18">
      <c r="A179" s="18">
        <f t="shared" si="44"/>
        <v>2028</v>
      </c>
      <c r="B179" s="24">
        <f t="shared" si="45"/>
        <v>3900000</v>
      </c>
      <c r="C179" s="22"/>
      <c r="D179" s="22"/>
      <c r="E179" s="22"/>
      <c r="F179" s="22"/>
      <c r="G179" s="17">
        <f>IFERROR((F178/$B178)*$B179,0)</f>
        <v>-672096.06203262624</v>
      </c>
      <c r="H179" s="17">
        <f t="shared" si="46"/>
        <v>-771525.49875655223</v>
      </c>
      <c r="I179" s="17">
        <f t="shared" si="46"/>
        <v>-747080.43164119113</v>
      </c>
      <c r="J179" s="17">
        <f t="shared" si="46"/>
        <v>-389789.24491270311</v>
      </c>
      <c r="K179" s="17">
        <f t="shared" si="46"/>
        <v>202171.40100974514</v>
      </c>
      <c r="L179" s="17">
        <f t="shared" si="46"/>
        <v>486430.31895063573</v>
      </c>
      <c r="M179" s="17">
        <f t="shared" si="46"/>
        <v>867208.22724822059</v>
      </c>
      <c r="N179" s="17">
        <f t="shared" si="46"/>
        <v>883890.32041855541</v>
      </c>
      <c r="O179" s="17">
        <f t="shared" si="46"/>
        <v>750761.84714613482</v>
      </c>
      <c r="P179" s="17">
        <f t="shared" si="46"/>
        <v>557438.15032980207</v>
      </c>
      <c r="Q179" s="17">
        <f t="shared" si="46"/>
        <v>582720.8098702468</v>
      </c>
      <c r="R179" s="17">
        <f t="shared" si="46"/>
        <v>315299.40914650343</v>
      </c>
    </row>
    <row r="180" spans="1:18">
      <c r="A180" s="18">
        <f t="shared" si="44"/>
        <v>2029</v>
      </c>
      <c r="B180" s="24">
        <f t="shared" si="45"/>
        <v>3900000</v>
      </c>
      <c r="C180" s="22"/>
      <c r="D180" s="22"/>
      <c r="E180" s="22"/>
      <c r="F180" s="22"/>
      <c r="G180" s="22"/>
      <c r="H180" s="17">
        <f>IFERROR((G179/$B179)*$B180,0)</f>
        <v>-672096.06203262624</v>
      </c>
      <c r="I180" s="17">
        <f t="shared" si="46"/>
        <v>-771525.49875655223</v>
      </c>
      <c r="J180" s="17">
        <f t="shared" si="46"/>
        <v>-747080.43164119113</v>
      </c>
      <c r="K180" s="17">
        <f t="shared" si="46"/>
        <v>-389789.24491270311</v>
      </c>
      <c r="L180" s="17">
        <f t="shared" si="46"/>
        <v>202171.40100974514</v>
      </c>
      <c r="M180" s="17">
        <f t="shared" si="46"/>
        <v>486430.31895063573</v>
      </c>
      <c r="N180" s="17">
        <f t="shared" si="46"/>
        <v>867208.22724822059</v>
      </c>
      <c r="O180" s="17">
        <f t="shared" si="46"/>
        <v>883890.32041855541</v>
      </c>
      <c r="P180" s="17">
        <f t="shared" si="46"/>
        <v>750761.84714613482</v>
      </c>
      <c r="Q180" s="17">
        <f t="shared" si="46"/>
        <v>557438.15032980207</v>
      </c>
      <c r="R180" s="17">
        <f t="shared" si="46"/>
        <v>582720.8098702468</v>
      </c>
    </row>
    <row r="181" spans="1:18">
      <c r="A181" s="18">
        <f t="shared" si="44"/>
        <v>2030</v>
      </c>
      <c r="B181" s="24">
        <f t="shared" si="45"/>
        <v>3900000</v>
      </c>
      <c r="C181" s="22"/>
      <c r="D181" s="22"/>
      <c r="E181" s="22"/>
      <c r="F181" s="22"/>
      <c r="G181" s="22"/>
      <c r="H181" s="22"/>
      <c r="I181" s="17">
        <f>IFERROR((H180/$B180)*$B181,0)</f>
        <v>-672096.06203262624</v>
      </c>
      <c r="J181" s="17">
        <f t="shared" si="46"/>
        <v>-771525.49875655223</v>
      </c>
      <c r="K181" s="17">
        <f t="shared" si="46"/>
        <v>-747080.43164119113</v>
      </c>
      <c r="L181" s="17">
        <f t="shared" si="46"/>
        <v>-389789.24491270311</v>
      </c>
      <c r="M181" s="17">
        <f t="shared" si="46"/>
        <v>202171.40100974514</v>
      </c>
      <c r="N181" s="17">
        <f t="shared" si="46"/>
        <v>486430.31895063573</v>
      </c>
      <c r="O181" s="17">
        <f t="shared" si="46"/>
        <v>867208.22724822059</v>
      </c>
      <c r="P181" s="17">
        <f t="shared" si="46"/>
        <v>883890.32041855541</v>
      </c>
      <c r="Q181" s="17">
        <f t="shared" si="46"/>
        <v>750761.84714613482</v>
      </c>
      <c r="R181" s="17">
        <f t="shared" si="46"/>
        <v>557438.15032980207</v>
      </c>
    </row>
    <row r="182" spans="1:18">
      <c r="A182" s="18">
        <f t="shared" si="44"/>
        <v>2031</v>
      </c>
      <c r="B182" s="24">
        <f t="shared" si="45"/>
        <v>3900000</v>
      </c>
      <c r="C182" s="22"/>
      <c r="D182" s="22"/>
      <c r="E182" s="22"/>
      <c r="F182" s="22"/>
      <c r="G182" s="22"/>
      <c r="H182" s="22"/>
      <c r="I182" s="22"/>
      <c r="J182" s="17">
        <f>IFERROR((I181/$B181)*$B182,0)</f>
        <v>-672096.06203262624</v>
      </c>
      <c r="K182" s="17">
        <f t="shared" si="46"/>
        <v>-771525.49875655223</v>
      </c>
      <c r="L182" s="17">
        <f t="shared" si="46"/>
        <v>-747080.43164119113</v>
      </c>
      <c r="M182" s="17">
        <f t="shared" si="46"/>
        <v>-389789.24491270311</v>
      </c>
      <c r="N182" s="17">
        <f t="shared" si="46"/>
        <v>202171.40100974514</v>
      </c>
      <c r="O182" s="17">
        <f t="shared" si="46"/>
        <v>486430.31895063573</v>
      </c>
      <c r="P182" s="17">
        <f t="shared" si="46"/>
        <v>867208.22724822059</v>
      </c>
      <c r="Q182" s="17">
        <f t="shared" si="46"/>
        <v>883890.32041855541</v>
      </c>
      <c r="R182" s="17">
        <f t="shared" si="46"/>
        <v>750761.84714613482</v>
      </c>
    </row>
    <row r="183" spans="1:18">
      <c r="A183" s="18">
        <f t="shared" si="44"/>
        <v>2032</v>
      </c>
      <c r="B183" s="24">
        <f t="shared" si="45"/>
        <v>3900000</v>
      </c>
      <c r="K183" s="17">
        <f>IFERROR((J182/$B182)*$B183,0)</f>
        <v>-672096.06203262624</v>
      </c>
      <c r="L183" s="17">
        <f t="shared" si="46"/>
        <v>-771525.49875655223</v>
      </c>
      <c r="M183" s="17">
        <f t="shared" si="46"/>
        <v>-747080.43164119113</v>
      </c>
      <c r="N183" s="17">
        <f t="shared" si="46"/>
        <v>-389789.24491270311</v>
      </c>
      <c r="O183" s="17">
        <f t="shared" si="46"/>
        <v>202171.40100974514</v>
      </c>
      <c r="P183" s="17">
        <f t="shared" si="46"/>
        <v>486430.31895063573</v>
      </c>
      <c r="Q183" s="17">
        <f t="shared" si="46"/>
        <v>867208.22724822059</v>
      </c>
      <c r="R183" s="17">
        <f t="shared" si="46"/>
        <v>883890.32041855541</v>
      </c>
    </row>
    <row r="184" spans="1:18">
      <c r="A184" s="18">
        <f t="shared" si="44"/>
        <v>2033</v>
      </c>
      <c r="B184" s="24">
        <f t="shared" si="45"/>
        <v>3900000</v>
      </c>
      <c r="L184" s="17">
        <f>IFERROR((K183/$B183)*$B184,0)</f>
        <v>-672096.06203262624</v>
      </c>
      <c r="M184" s="17">
        <f t="shared" si="46"/>
        <v>-771525.49875655223</v>
      </c>
      <c r="N184" s="17">
        <f t="shared" si="46"/>
        <v>-747080.43164119113</v>
      </c>
      <c r="O184" s="17">
        <f t="shared" si="46"/>
        <v>-389789.24491270311</v>
      </c>
      <c r="P184" s="17">
        <f t="shared" si="46"/>
        <v>202171.40100974514</v>
      </c>
      <c r="Q184" s="17">
        <f t="shared" si="46"/>
        <v>486430.31895063573</v>
      </c>
      <c r="R184" s="17">
        <f t="shared" si="46"/>
        <v>867208.22724822059</v>
      </c>
    </row>
    <row r="185" spans="1:18">
      <c r="A185" s="18">
        <f t="shared" si="44"/>
        <v>2034</v>
      </c>
      <c r="B185" s="24">
        <f t="shared" si="45"/>
        <v>3900000</v>
      </c>
      <c r="L185" s="22"/>
      <c r="M185" s="17">
        <f>IFERROR((L184/$B184)*$B185,0)</f>
        <v>-672096.06203262624</v>
      </c>
      <c r="N185" s="17">
        <f t="shared" si="46"/>
        <v>-771525.49875655223</v>
      </c>
      <c r="O185" s="17">
        <f t="shared" si="46"/>
        <v>-747080.43164119113</v>
      </c>
      <c r="P185" s="17">
        <f t="shared" si="46"/>
        <v>-389789.24491270311</v>
      </c>
      <c r="Q185" s="17">
        <f t="shared" si="46"/>
        <v>202171.40100974514</v>
      </c>
      <c r="R185" s="17">
        <f t="shared" si="46"/>
        <v>486430.31895063573</v>
      </c>
    </row>
    <row r="186" spans="1:18">
      <c r="A186" s="18">
        <f t="shared" si="44"/>
        <v>2035</v>
      </c>
      <c r="B186" s="24">
        <f t="shared" si="45"/>
        <v>3900000</v>
      </c>
      <c r="N186" s="17">
        <f>IFERROR((M185/$B185)*$B186,0)</f>
        <v>-672096.06203262624</v>
      </c>
      <c r="O186" s="17">
        <f t="shared" si="46"/>
        <v>-771525.49875655223</v>
      </c>
      <c r="P186" s="17">
        <f t="shared" si="46"/>
        <v>-747080.43164119113</v>
      </c>
      <c r="Q186" s="17">
        <f t="shared" si="46"/>
        <v>-389789.24491270311</v>
      </c>
      <c r="R186" s="17">
        <f t="shared" si="46"/>
        <v>202171.40100974514</v>
      </c>
    </row>
    <row r="187" spans="1:18">
      <c r="A187" s="18">
        <f t="shared" si="44"/>
        <v>2036</v>
      </c>
      <c r="B187" s="24">
        <f t="shared" si="45"/>
        <v>3900000</v>
      </c>
      <c r="O187" s="17">
        <f>IFERROR((N186/$B186)*$B187,0)</f>
        <v>-672096.06203262624</v>
      </c>
      <c r="P187" s="17">
        <f t="shared" si="46"/>
        <v>-771525.49875655223</v>
      </c>
      <c r="Q187" s="17">
        <f t="shared" si="46"/>
        <v>-747080.43164119113</v>
      </c>
      <c r="R187" s="17">
        <f t="shared" si="46"/>
        <v>-389789.24491270311</v>
      </c>
    </row>
    <row r="188" spans="1:18">
      <c r="A188" s="18">
        <f t="shared" si="44"/>
        <v>2037</v>
      </c>
      <c r="B188" s="24">
        <f t="shared" si="45"/>
        <v>3900000</v>
      </c>
      <c r="P188" s="17">
        <f>IFERROR((O187/$B187)*$B188,0)</f>
        <v>-672096.06203262624</v>
      </c>
      <c r="Q188" s="17">
        <f t="shared" si="46"/>
        <v>-771525.49875655223</v>
      </c>
      <c r="R188" s="17">
        <f t="shared" si="46"/>
        <v>-747080.43164119113</v>
      </c>
    </row>
    <row r="189" spans="1:18">
      <c r="A189" s="18">
        <f t="shared" si="44"/>
        <v>2038</v>
      </c>
      <c r="B189" s="24">
        <f t="shared" si="45"/>
        <v>3900000</v>
      </c>
      <c r="Q189" s="17">
        <f>IFERROR((P188/$B188)*$B189,0)</f>
        <v>-672096.06203262624</v>
      </c>
      <c r="R189" s="17">
        <f t="shared" si="46"/>
        <v>-771525.49875655223</v>
      </c>
    </row>
    <row r="190" spans="1:18">
      <c r="A190" s="18">
        <f t="shared" si="44"/>
        <v>2039</v>
      </c>
      <c r="B190" s="24">
        <f t="shared" si="45"/>
        <v>3900000</v>
      </c>
      <c r="R190" s="17">
        <f>IFERROR((Q189/$B189)*$B190,0)</f>
        <v>-672096.06203262624</v>
      </c>
    </row>
    <row r="191" spans="1:18">
      <c r="R191" s="17"/>
    </row>
    <row r="192" spans="1:18">
      <c r="A192" s="21" t="s">
        <v>33</v>
      </c>
      <c r="C192" s="20"/>
      <c r="D192" s="20">
        <f>SUM(D176:D190)</f>
        <v>-672096.06203262624</v>
      </c>
      <c r="E192" s="20">
        <f t="shared" ref="E192:R192" si="47">SUM(E176:E190)</f>
        <v>-1443621.5607891786</v>
      </c>
      <c r="F192" s="20">
        <f t="shared" si="47"/>
        <v>-2190701.9924303694</v>
      </c>
      <c r="G192" s="20">
        <f t="shared" si="47"/>
        <v>-2580491.2373430729</v>
      </c>
      <c r="H192" s="20">
        <f t="shared" si="47"/>
        <v>-2378319.8363333279</v>
      </c>
      <c r="I192" s="20">
        <f t="shared" si="47"/>
        <v>-1891889.5173826918</v>
      </c>
      <c r="J192" s="20">
        <f t="shared" si="47"/>
        <v>-1024681.2901344711</v>
      </c>
      <c r="K192" s="20">
        <f t="shared" si="47"/>
        <v>-140790.96971591597</v>
      </c>
      <c r="L192" s="20">
        <f t="shared" si="47"/>
        <v>609970.87743021897</v>
      </c>
      <c r="M192" s="20">
        <f t="shared" si="47"/>
        <v>1167409.0277600212</v>
      </c>
      <c r="N192" s="20">
        <f t="shared" si="47"/>
        <v>1750129.8376302684</v>
      </c>
      <c r="O192" s="20">
        <f t="shared" si="47"/>
        <v>2065429.2467767706</v>
      </c>
      <c r="P192" s="20">
        <f t="shared" si="47"/>
        <v>2309758.0312732207</v>
      </c>
      <c r="Q192" s="20">
        <f t="shared" si="47"/>
        <v>2438323.9137378223</v>
      </c>
      <c r="R192" s="20">
        <f t="shared" si="47"/>
        <v>2554953.8394595049</v>
      </c>
    </row>
    <row r="193" spans="1:18">
      <c r="A193" s="21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>
      <c r="A194" s="21" t="s">
        <v>307</v>
      </c>
      <c r="C194" s="20"/>
      <c r="D194" s="20">
        <f>SUM(D192,D94,D70,D46)</f>
        <v>-672096.06203262624</v>
      </c>
      <c r="E194" s="20">
        <f t="shared" ref="E194:R194" si="48">SUM(E192,E94,E70,E46)</f>
        <v>-1443621.5607891786</v>
      </c>
      <c r="F194" s="20">
        <f t="shared" si="48"/>
        <v>-2190701.9924303694</v>
      </c>
      <c r="G194" s="20">
        <f t="shared" si="48"/>
        <v>-2580491.2373430729</v>
      </c>
      <c r="H194" s="20">
        <f t="shared" si="48"/>
        <v>-2378319.8363333279</v>
      </c>
      <c r="I194" s="20">
        <f t="shared" si="48"/>
        <v>-1891889.5173826918</v>
      </c>
      <c r="J194" s="20">
        <f t="shared" si="48"/>
        <v>-1024681.2901344711</v>
      </c>
      <c r="K194" s="20">
        <f t="shared" si="48"/>
        <v>-140790.96971591597</v>
      </c>
      <c r="L194" s="20">
        <f t="shared" si="48"/>
        <v>609970.87743021897</v>
      </c>
      <c r="M194" s="20">
        <f t="shared" si="48"/>
        <v>1167409.0277600212</v>
      </c>
      <c r="N194" s="20">
        <f t="shared" si="48"/>
        <v>1750129.8376302684</v>
      </c>
      <c r="O194" s="20">
        <f t="shared" si="48"/>
        <v>2065429.2467767706</v>
      </c>
      <c r="P194" s="20">
        <f t="shared" si="48"/>
        <v>2309758.0312732207</v>
      </c>
      <c r="Q194" s="20">
        <f t="shared" si="48"/>
        <v>2438323.9137378223</v>
      </c>
      <c r="R194" s="20">
        <f t="shared" si="48"/>
        <v>2554953.8394595049</v>
      </c>
    </row>
    <row r="195" spans="1:18">
      <c r="R195" s="17"/>
    </row>
    <row r="196" spans="1:18">
      <c r="A196" s="21" t="s">
        <v>37</v>
      </c>
      <c r="C196" s="20"/>
      <c r="D196" s="20">
        <f>SUM($D$194:D194)</f>
        <v>-672096.06203262624</v>
      </c>
      <c r="E196" s="20">
        <f>SUM($D$194:E194)</f>
        <v>-2115717.6228218051</v>
      </c>
      <c r="F196" s="20">
        <f>SUM($D$194:F194)</f>
        <v>-4306419.6152521744</v>
      </c>
      <c r="G196" s="20">
        <f>SUM($D$194:G194)</f>
        <v>-6886910.8525952473</v>
      </c>
      <c r="H196" s="20">
        <f>SUM($D$194:H194)</f>
        <v>-9265230.6889285743</v>
      </c>
      <c r="I196" s="20">
        <f>SUM($D$194:I194)</f>
        <v>-11157120.206311267</v>
      </c>
      <c r="J196" s="20">
        <f>SUM($D$194:J194)</f>
        <v>-12181801.496445738</v>
      </c>
      <c r="K196" s="20">
        <f>SUM($D$194:K194)</f>
        <v>-12322592.466161653</v>
      </c>
      <c r="L196" s="20">
        <f>SUM($D$194:L194)</f>
        <v>-11712621.588731434</v>
      </c>
      <c r="M196" s="20">
        <f>SUM($D$194:M194)</f>
        <v>-10545212.560971413</v>
      </c>
      <c r="N196" s="20">
        <f>SUM($D$194:N194)</f>
        <v>-8795082.7233411446</v>
      </c>
      <c r="O196" s="20">
        <f>SUM($D$194:O194)</f>
        <v>-6729653.4765643738</v>
      </c>
      <c r="P196" s="20">
        <f>SUM($D$194:P194)</f>
        <v>-4419895.4452911532</v>
      </c>
      <c r="Q196" s="20">
        <f>SUM($D$194:Q194)</f>
        <v>-1981571.5315533308</v>
      </c>
      <c r="R196" s="20">
        <f>SUM($D$194:R194)</f>
        <v>573382.3079061741</v>
      </c>
    </row>
    <row r="200" spans="1:18" ht="12" thickBot="1"/>
    <row r="201" spans="1:18">
      <c r="C201" s="69" t="s">
        <v>64</v>
      </c>
      <c r="D201" s="70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2"/>
    </row>
    <row r="202" spans="1:18">
      <c r="C202" s="73"/>
      <c r="D202" s="74" t="s">
        <v>6</v>
      </c>
      <c r="E202" s="74" t="s">
        <v>7</v>
      </c>
      <c r="F202" s="74" t="s">
        <v>8</v>
      </c>
      <c r="G202" s="74" t="s">
        <v>9</v>
      </c>
      <c r="H202" s="74" t="s">
        <v>10</v>
      </c>
      <c r="I202" s="74" t="s">
        <v>11</v>
      </c>
      <c r="J202" s="74" t="s">
        <v>12</v>
      </c>
      <c r="K202" s="74" t="s">
        <v>13</v>
      </c>
      <c r="L202" s="74" t="s">
        <v>14</v>
      </c>
      <c r="M202" s="74" t="s">
        <v>15</v>
      </c>
      <c r="N202" s="74" t="s">
        <v>16</v>
      </c>
      <c r="O202" s="74" t="s">
        <v>17</v>
      </c>
      <c r="P202" s="74" t="s">
        <v>18</v>
      </c>
      <c r="Q202" s="74" t="s">
        <v>19</v>
      </c>
      <c r="R202" s="75" t="s">
        <v>20</v>
      </c>
    </row>
    <row r="203" spans="1:18">
      <c r="C203" s="76" t="s">
        <v>38</v>
      </c>
      <c r="D203" s="77">
        <f>D146/1000000</f>
        <v>-0.67209606203262628</v>
      </c>
      <c r="E203" s="77">
        <f t="shared" ref="E203:R203" si="49">E146/1000000</f>
        <v>-1.4466221179072845</v>
      </c>
      <c r="F203" s="77">
        <f t="shared" si="49"/>
        <v>-2.2759607164977043</v>
      </c>
      <c r="G203" s="77">
        <f t="shared" si="49"/>
        <v>-2.9993100128503003</v>
      </c>
      <c r="H203" s="77">
        <f t="shared" si="49"/>
        <v>-3.4503275453261342</v>
      </c>
      <c r="I203" s="77">
        <f t="shared" si="49"/>
        <v>-3.6791162793530914</v>
      </c>
      <c r="J203" s="77">
        <f t="shared" si="49"/>
        <v>-3.7824556748959308</v>
      </c>
      <c r="K203" s="77">
        <f t="shared" si="49"/>
        <v>-3.8432477774708049</v>
      </c>
      <c r="L203" s="77">
        <f t="shared" si="49"/>
        <v>-3.8661918894104583</v>
      </c>
      <c r="M203" s="77">
        <f t="shared" si="49"/>
        <v>-3.8821421695134983</v>
      </c>
      <c r="N203" s="77">
        <f t="shared" si="49"/>
        <v>-3.8927412512435073</v>
      </c>
      <c r="O203" s="77">
        <f t="shared" si="49"/>
        <v>-3.8985754455783823</v>
      </c>
      <c r="P203" s="77">
        <f t="shared" si="49"/>
        <v>-3.9028062933183314</v>
      </c>
      <c r="Q203" s="77">
        <f t="shared" si="49"/>
        <v>-3.9031619612764232</v>
      </c>
      <c r="R203" s="78">
        <f t="shared" si="49"/>
        <v>-3.9046922896217864</v>
      </c>
    </row>
    <row r="204" spans="1:18">
      <c r="C204" s="76" t="s">
        <v>39</v>
      </c>
      <c r="D204" s="77">
        <f>D170/1000000</f>
        <v>0</v>
      </c>
      <c r="E204" s="77">
        <f t="shared" ref="E204:R204" si="50">E170/1000000</f>
        <v>3.0005571181060814E-3</v>
      </c>
      <c r="F204" s="77">
        <f t="shared" si="50"/>
        <v>8.525872406733509E-2</v>
      </c>
      <c r="G204" s="77">
        <f t="shared" si="50"/>
        <v>0.41881877550722801</v>
      </c>
      <c r="H204" s="77">
        <f t="shared" si="50"/>
        <v>1.0720077089928066</v>
      </c>
      <c r="I204" s="77">
        <f t="shared" si="50"/>
        <v>1.7872267619704001</v>
      </c>
      <c r="J204" s="77">
        <f t="shared" si="50"/>
        <v>2.7577743847614595</v>
      </c>
      <c r="K204" s="77">
        <f t="shared" si="50"/>
        <v>3.7024568077548885</v>
      </c>
      <c r="L204" s="77">
        <f t="shared" si="50"/>
        <v>4.4761627668406776</v>
      </c>
      <c r="M204" s="77">
        <f t="shared" si="50"/>
        <v>5.0495511972735185</v>
      </c>
      <c r="N204" s="77">
        <f t="shared" si="50"/>
        <v>5.6428710888737754</v>
      </c>
      <c r="O204" s="77">
        <f t="shared" si="50"/>
        <v>5.9640046923551528</v>
      </c>
      <c r="P204" s="77">
        <f t="shared" si="50"/>
        <v>6.2125643245915532</v>
      </c>
      <c r="Q204" s="77">
        <f t="shared" si="50"/>
        <v>6.3414858750142473</v>
      </c>
      <c r="R204" s="78">
        <f t="shared" si="50"/>
        <v>6.4596461290812917</v>
      </c>
    </row>
    <row r="205" spans="1:18" ht="12" thickBot="1">
      <c r="C205" s="79" t="s">
        <v>66</v>
      </c>
      <c r="D205" s="80">
        <f>D194/1000000</f>
        <v>-0.67209606203262628</v>
      </c>
      <c r="E205" s="80">
        <f>E194/1000000</f>
        <v>-1.4436215607891787</v>
      </c>
      <c r="F205" s="80">
        <f t="shared" ref="F205:R205" si="51">F194/1000000</f>
        <v>-2.1907019924303692</v>
      </c>
      <c r="G205" s="80">
        <f t="shared" si="51"/>
        <v>-2.5804912373430731</v>
      </c>
      <c r="H205" s="80">
        <f t="shared" si="51"/>
        <v>-2.3783198363333278</v>
      </c>
      <c r="I205" s="80">
        <f t="shared" si="51"/>
        <v>-1.891889517382692</v>
      </c>
      <c r="J205" s="80">
        <f t="shared" si="51"/>
        <v>-1.0246812901344711</v>
      </c>
      <c r="K205" s="80">
        <f t="shared" si="51"/>
        <v>-0.14079096971591598</v>
      </c>
      <c r="L205" s="80">
        <f t="shared" si="51"/>
        <v>0.60997087743021894</v>
      </c>
      <c r="M205" s="80">
        <f t="shared" si="51"/>
        <v>1.1674090277600211</v>
      </c>
      <c r="N205" s="80">
        <f t="shared" si="51"/>
        <v>1.7501298376302685</v>
      </c>
      <c r="O205" s="80">
        <f t="shared" si="51"/>
        <v>2.0654292467767705</v>
      </c>
      <c r="P205" s="80">
        <f t="shared" si="51"/>
        <v>2.3097580312732209</v>
      </c>
      <c r="Q205" s="80">
        <f t="shared" si="51"/>
        <v>2.4383239137378223</v>
      </c>
      <c r="R205" s="81">
        <f t="shared" si="51"/>
        <v>2.5549538394595048</v>
      </c>
    </row>
    <row r="206" spans="1:18" ht="12" thickBot="1"/>
    <row r="207" spans="1:18">
      <c r="C207" s="69" t="s">
        <v>65</v>
      </c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2"/>
    </row>
    <row r="208" spans="1:18">
      <c r="C208" s="76" t="s">
        <v>295</v>
      </c>
      <c r="D208" s="77">
        <f t="shared" ref="D208:R208" si="52">D119/1000000</f>
        <v>10.600656061734579</v>
      </c>
      <c r="E208" s="77">
        <f t="shared" si="52"/>
        <v>11.132371537977539</v>
      </c>
      <c r="F208" s="77">
        <f t="shared" si="52"/>
        <v>11.668652390867569</v>
      </c>
      <c r="G208" s="77">
        <f t="shared" si="52"/>
        <v>12.356558959116903</v>
      </c>
      <c r="H208" s="77">
        <f t="shared" si="52"/>
        <v>13.459100068305805</v>
      </c>
      <c r="I208" s="77">
        <f t="shared" si="52"/>
        <v>14.78780112732691</v>
      </c>
      <c r="J208" s="77">
        <f t="shared" si="52"/>
        <v>16.636855749808994</v>
      </c>
      <c r="K208" s="77">
        <f t="shared" si="52"/>
        <v>18.924891567522351</v>
      </c>
      <c r="L208" s="77">
        <f t="shared" si="52"/>
        <v>21.502851919497125</v>
      </c>
      <c r="M208" s="77">
        <f t="shared" si="52"/>
        <v>24.365162484958201</v>
      </c>
      <c r="N208" s="77">
        <f t="shared" si="52"/>
        <v>27.55203958693043</v>
      </c>
      <c r="O208" s="77">
        <f t="shared" si="52"/>
        <v>30.944749435239409</v>
      </c>
      <c r="P208" s="77">
        <f t="shared" si="52"/>
        <v>34.569892283617229</v>
      </c>
      <c r="Q208" s="77">
        <f t="shared" si="52"/>
        <v>38.441810391308465</v>
      </c>
      <c r="R208" s="78">
        <f t="shared" si="52"/>
        <v>42.613909284381542</v>
      </c>
    </row>
    <row r="209" spans="3:18" ht="12" thickBot="1">
      <c r="C209" s="79" t="s">
        <v>68</v>
      </c>
      <c r="D209" s="80">
        <f>-SUM($D$205:D205)</f>
        <v>0.67209606203262628</v>
      </c>
      <c r="E209" s="80">
        <f>-SUM($D$205:E205)</f>
        <v>2.1157176228218049</v>
      </c>
      <c r="F209" s="80">
        <f>-SUM($D$205:F205)</f>
        <v>4.3064196152521745</v>
      </c>
      <c r="G209" s="80">
        <f>-SUM($D$205:G205)</f>
        <v>6.886910852595248</v>
      </c>
      <c r="H209" s="80">
        <f>-SUM($D$205:H205)</f>
        <v>9.2652306889285754</v>
      </c>
      <c r="I209" s="80">
        <f>-SUM($D$205:I205)</f>
        <v>11.157120206311268</v>
      </c>
      <c r="J209" s="80">
        <f>-SUM($D$205:J205)</f>
        <v>12.181801496445738</v>
      </c>
      <c r="K209" s="80">
        <f>-SUM($D$205:K205)</f>
        <v>12.322592466161653</v>
      </c>
      <c r="L209" s="80">
        <f>-SUM($D$205:L205)</f>
        <v>11.712621588731434</v>
      </c>
      <c r="M209" s="80">
        <f>-SUM($D$205:M205)</f>
        <v>10.545212560971413</v>
      </c>
      <c r="N209" s="80">
        <f>-SUM($D$205:N205)</f>
        <v>8.7950827233411442</v>
      </c>
      <c r="O209" s="80">
        <f>-SUM($D$205:O205)</f>
        <v>6.7296534765643736</v>
      </c>
      <c r="P209" s="80">
        <f>-SUM($D$205:P205)</f>
        <v>4.4198954452911527</v>
      </c>
      <c r="Q209" s="80">
        <f>-SUM($D$205:Q205)</f>
        <v>1.9815715315533304</v>
      </c>
      <c r="R209" s="81">
        <f>-SUM($D$205:R205)</f>
        <v>-0.57338230790617439</v>
      </c>
    </row>
    <row r="210" spans="3:18">
      <c r="R210" s="17"/>
    </row>
    <row r="211" spans="3:18">
      <c r="C211" s="17" t="s">
        <v>296</v>
      </c>
      <c r="D211" s="17">
        <f>D123*$E$4</f>
        <v>10</v>
      </c>
      <c r="E211" s="17">
        <f t="shared" ref="E211:Q211" si="53">E123*$E$4</f>
        <v>10.61</v>
      </c>
      <c r="F211" s="17">
        <f t="shared" si="53"/>
        <v>11.257210000000001</v>
      </c>
      <c r="G211" s="17">
        <f t="shared" si="53"/>
        <v>11.943899809999998</v>
      </c>
      <c r="H211" s="17">
        <f t="shared" si="53"/>
        <v>12.672477698409999</v>
      </c>
      <c r="I211" s="17">
        <f t="shared" si="53"/>
        <v>13.445498838013009</v>
      </c>
      <c r="J211" s="17">
        <f t="shared" si="53"/>
        <v>14.265674267131802</v>
      </c>
      <c r="K211" s="17">
        <f t="shared" si="53"/>
        <v>15.13588039742684</v>
      </c>
      <c r="L211" s="17">
        <f t="shared" si="53"/>
        <v>16.059169101669877</v>
      </c>
      <c r="M211" s="17">
        <f t="shared" si="53"/>
        <v>17.038778416871736</v>
      </c>
      <c r="N211" s="17">
        <f t="shared" si="53"/>
        <v>18.078143900300912</v>
      </c>
      <c r="O211" s="17">
        <f t="shared" si="53"/>
        <v>19.180910678219266</v>
      </c>
      <c r="P211" s="17">
        <f t="shared" si="53"/>
        <v>20.35094622959064</v>
      </c>
      <c r="Q211" s="17">
        <f t="shared" si="53"/>
        <v>21.592353949595669</v>
      </c>
      <c r="R211" s="17">
        <f>R123*$E$4</f>
        <v>22.909487540521003</v>
      </c>
    </row>
    <row r="212" spans="3:18">
      <c r="R212" s="17"/>
    </row>
    <row r="213" spans="3:18">
      <c r="C213" s="17" t="s">
        <v>67</v>
      </c>
      <c r="D213" s="83">
        <f>D208/D123</f>
        <v>1.0600656061734579</v>
      </c>
      <c r="E213" s="83">
        <f t="shared" ref="E213:R213" si="54">E208/E123</f>
        <v>1.0492338867085333</v>
      </c>
      <c r="F213" s="83">
        <f t="shared" si="54"/>
        <v>1.0365492329686989</v>
      </c>
      <c r="G213" s="83">
        <f t="shared" si="54"/>
        <v>1.0345497832099535</v>
      </c>
      <c r="H213" s="83">
        <f t="shared" si="54"/>
        <v>1.0620732889507869</v>
      </c>
      <c r="I213" s="83">
        <f t="shared" si="54"/>
        <v>1.0998328366604706</v>
      </c>
      <c r="J213" s="83">
        <f t="shared" si="54"/>
        <v>1.1662158716283331</v>
      </c>
      <c r="K213" s="83">
        <f t="shared" si="54"/>
        <v>1.2503330543454649</v>
      </c>
      <c r="L213" s="83">
        <f t="shared" si="54"/>
        <v>1.3389766172436157</v>
      </c>
      <c r="M213" s="83">
        <f t="shared" si="54"/>
        <v>1.4299829417836614</v>
      </c>
      <c r="N213" s="83">
        <f t="shared" si="54"/>
        <v>1.5240524546589003</v>
      </c>
      <c r="O213" s="83">
        <f t="shared" si="54"/>
        <v>1.6133097095529711</v>
      </c>
      <c r="P213" s="83">
        <f t="shared" si="54"/>
        <v>1.6986872204178882</v>
      </c>
      <c r="Q213" s="83">
        <f t="shared" si="54"/>
        <v>1.7803436568817599</v>
      </c>
      <c r="R213" s="83">
        <f t="shared" si="54"/>
        <v>1.8600987564216998</v>
      </c>
    </row>
    <row r="215" spans="3:18">
      <c r="C215" s="17" t="s">
        <v>308</v>
      </c>
      <c r="D215" s="136">
        <f>(D208)/($B$4/1000000)</f>
        <v>1.0600656061734579</v>
      </c>
      <c r="E215" s="136">
        <f t="shared" ref="E215:R215" si="55">(E208)/($B$4/1000000)</f>
        <v>1.1132371537977539</v>
      </c>
      <c r="F215" s="136">
        <f t="shared" si="55"/>
        <v>1.1668652390867569</v>
      </c>
      <c r="G215" s="136">
        <f t="shared" si="55"/>
        <v>1.2356558959116903</v>
      </c>
      <c r="H215" s="136">
        <f t="shared" si="55"/>
        <v>1.3459100068305805</v>
      </c>
      <c r="I215" s="136">
        <f t="shared" si="55"/>
        <v>1.4787801127326909</v>
      </c>
      <c r="J215" s="136">
        <f t="shared" si="55"/>
        <v>1.6636855749808994</v>
      </c>
      <c r="K215" s="136">
        <f t="shared" si="55"/>
        <v>1.8924891567522351</v>
      </c>
      <c r="L215" s="136">
        <f t="shared" si="55"/>
        <v>2.1502851919497123</v>
      </c>
      <c r="M215" s="136">
        <f t="shared" si="55"/>
        <v>2.43651624849582</v>
      </c>
      <c r="N215" s="136">
        <f t="shared" si="55"/>
        <v>2.755203958693043</v>
      </c>
      <c r="O215" s="136">
        <f t="shared" si="55"/>
        <v>3.0944749435239407</v>
      </c>
      <c r="P215" s="136">
        <f t="shared" si="55"/>
        <v>3.456989228361723</v>
      </c>
      <c r="Q215" s="136">
        <f t="shared" si="55"/>
        <v>3.8441810391308464</v>
      </c>
      <c r="R215" s="136">
        <f t="shared" si="55"/>
        <v>4.2613909284381544</v>
      </c>
    </row>
  </sheetData>
  <phoneticPr fontId="19" type="noConversion"/>
  <conditionalFormatting sqref="O12">
    <cfRule type="cellIs" dxfId="1" priority="1" operator="notEqual">
      <formula>1</formula>
    </cfRule>
  </conditionalFormatting>
  <pageMargins left="0.7" right="0.7" top="0.75" bottom="0.75" header="0.3" footer="0.3"/>
  <pageSetup orientation="portrait" r:id="rId1"/>
  <customProperties>
    <customPr name="WorksheetId" r:id="rId2"/>
  </customPropertie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EB7C-00D1-428A-AA20-5C42B06CFEDC}">
  <sheetPr codeName="Sheet19">
    <tabColor theme="4"/>
  </sheetPr>
  <dimension ref="A1:W215"/>
  <sheetViews>
    <sheetView topLeftCell="A75" zoomScaleNormal="100" workbookViewId="0">
      <selection activeCell="D101" sqref="D101"/>
    </sheetView>
  </sheetViews>
  <sheetFormatPr defaultColWidth="9.140625" defaultRowHeight="11.25"/>
  <cols>
    <col min="1" max="1" width="45.42578125" style="19" customWidth="1"/>
    <col min="2" max="2" width="13.85546875" style="19" bestFit="1" customWidth="1"/>
    <col min="3" max="3" width="18.5703125" style="17" customWidth="1"/>
    <col min="4" max="4" width="13.5703125" style="17" bestFit="1" customWidth="1"/>
    <col min="5" max="5" width="14.7109375" style="17" bestFit="1" customWidth="1"/>
    <col min="6" max="6" width="15.140625" style="17" bestFit="1" customWidth="1"/>
    <col min="7" max="7" width="13.85546875" style="17" bestFit="1" customWidth="1"/>
    <col min="8" max="8" width="15.140625" style="17" bestFit="1" customWidth="1"/>
    <col min="9" max="10" width="15.42578125" style="17" bestFit="1" customWidth="1"/>
    <col min="11" max="17" width="15.42578125" style="17" customWidth="1"/>
    <col min="18" max="18" width="18.28515625" style="19" customWidth="1"/>
    <col min="19" max="16384" width="9.140625" style="3"/>
  </cols>
  <sheetData>
    <row r="1" spans="1:23">
      <c r="A1" s="7" t="s">
        <v>41</v>
      </c>
      <c r="B1" s="25">
        <v>6.0999999999999999E-2</v>
      </c>
      <c r="C1" s="1"/>
      <c r="D1" s="1"/>
      <c r="E1" s="53"/>
      <c r="F1" s="4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</row>
    <row r="2" spans="1:23">
      <c r="A2" s="1"/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</row>
    <row r="3" spans="1:23" ht="33.75">
      <c r="A3" s="2" t="s">
        <v>5</v>
      </c>
      <c r="B3" s="40" t="s">
        <v>44</v>
      </c>
      <c r="C3" s="36" t="s">
        <v>43</v>
      </c>
      <c r="D3" s="35" t="s">
        <v>4</v>
      </c>
      <c r="E3" s="35" t="s">
        <v>28</v>
      </c>
      <c r="F3" s="35" t="s">
        <v>29</v>
      </c>
      <c r="G3" s="1"/>
      <c r="H3" s="122" t="s">
        <v>303</v>
      </c>
      <c r="I3" s="123" t="s">
        <v>297</v>
      </c>
      <c r="J3" s="1"/>
      <c r="K3" s="127" t="s">
        <v>304</v>
      </c>
      <c r="L3" s="128" t="s">
        <v>305</v>
      </c>
      <c r="M3" s="1"/>
      <c r="N3" s="115" t="s">
        <v>301</v>
      </c>
      <c r="O3" s="116" t="s">
        <v>45</v>
      </c>
      <c r="P3" s="1"/>
      <c r="Q3" s="1"/>
      <c r="R3" s="1"/>
      <c r="S3" s="1"/>
      <c r="T3" s="1"/>
      <c r="U3" s="1"/>
      <c r="V3" s="1"/>
      <c r="W3" s="1"/>
    </row>
    <row r="4" spans="1:23">
      <c r="A4" s="30">
        <v>2025</v>
      </c>
      <c r="B4" s="23">
        <v>10000000</v>
      </c>
      <c r="C4" s="23">
        <v>0</v>
      </c>
      <c r="D4" s="31">
        <f>SUM(B4:C4)</f>
        <v>10000000</v>
      </c>
      <c r="E4" s="54">
        <v>1</v>
      </c>
      <c r="F4" s="1">
        <f t="shared" ref="F4:F18" si="0">D4*E4</f>
        <v>10000000</v>
      </c>
      <c r="G4" s="1"/>
      <c r="H4" s="124">
        <v>5000000</v>
      </c>
      <c r="I4" s="125">
        <f>LTCMAs!K11</f>
        <v>9.3899999999999983E-2</v>
      </c>
      <c r="J4" s="1"/>
      <c r="K4" s="129">
        <v>0</v>
      </c>
      <c r="L4" s="130">
        <v>0.06</v>
      </c>
      <c r="M4" s="1"/>
      <c r="N4" s="117" t="s">
        <v>21</v>
      </c>
      <c r="O4" s="118">
        <v>1</v>
      </c>
      <c r="P4" s="47"/>
      <c r="Q4" s="14"/>
      <c r="R4" s="14"/>
      <c r="S4" s="14"/>
      <c r="T4" s="14"/>
      <c r="U4" s="14"/>
      <c r="V4" s="14"/>
      <c r="W4" s="14"/>
    </row>
    <row r="5" spans="1:23">
      <c r="A5" s="2">
        <f t="shared" ref="A5:A18" si="1">A4+1</f>
        <v>2026</v>
      </c>
      <c r="B5" s="26"/>
      <c r="C5" s="23"/>
      <c r="D5" s="31">
        <f>(D4*(1+$B$1))+C5</f>
        <v>10610000</v>
      </c>
      <c r="E5" s="55">
        <f>E4</f>
        <v>1</v>
      </c>
      <c r="F5" s="1">
        <f t="shared" si="0"/>
        <v>10610000</v>
      </c>
      <c r="G5" s="1"/>
      <c r="H5" s="124">
        <v>0</v>
      </c>
      <c r="I5" s="126"/>
      <c r="J5" s="1"/>
      <c r="K5" s="129">
        <v>0</v>
      </c>
      <c r="L5" s="131"/>
      <c r="M5" s="1"/>
      <c r="N5" s="117" t="s">
        <v>27</v>
      </c>
      <c r="O5" s="118">
        <v>0</v>
      </c>
      <c r="P5" s="1"/>
      <c r="Q5" s="1"/>
      <c r="R5" s="1"/>
      <c r="S5" s="1"/>
      <c r="T5" s="1"/>
      <c r="U5" s="1"/>
      <c r="V5" s="1"/>
      <c r="W5" s="1"/>
    </row>
    <row r="6" spans="1:23">
      <c r="A6" s="2">
        <f t="shared" si="1"/>
        <v>2027</v>
      </c>
      <c r="B6" s="26"/>
      <c r="C6" s="23"/>
      <c r="D6" s="31">
        <f t="shared" ref="D6:D18" si="2">(D5*(1+$B$1))+C6</f>
        <v>11257210</v>
      </c>
      <c r="E6" s="55">
        <f t="shared" ref="E6:E18" si="3">E5</f>
        <v>1</v>
      </c>
      <c r="F6" s="1">
        <f t="shared" si="0"/>
        <v>11257210</v>
      </c>
      <c r="G6" s="1"/>
      <c r="H6" s="124">
        <v>0</v>
      </c>
      <c r="I6" s="126"/>
      <c r="J6" s="1"/>
      <c r="K6" s="129">
        <v>0</v>
      </c>
      <c r="L6" s="131"/>
      <c r="M6" s="1"/>
      <c r="N6" s="117" t="s">
        <v>49</v>
      </c>
      <c r="O6" s="118">
        <v>0</v>
      </c>
      <c r="P6" s="1"/>
      <c r="Q6" s="1"/>
      <c r="R6" s="1"/>
      <c r="S6" s="1"/>
      <c r="T6" s="1"/>
      <c r="U6" s="1"/>
      <c r="V6" s="1"/>
      <c r="W6" s="1"/>
    </row>
    <row r="7" spans="1:23">
      <c r="A7" s="2">
        <f t="shared" si="1"/>
        <v>2028</v>
      </c>
      <c r="B7" s="26"/>
      <c r="C7" s="23"/>
      <c r="D7" s="31">
        <f t="shared" si="2"/>
        <v>11943899.809999999</v>
      </c>
      <c r="E7" s="55">
        <f t="shared" si="3"/>
        <v>1</v>
      </c>
      <c r="F7" s="1">
        <f t="shared" si="0"/>
        <v>11943899.809999999</v>
      </c>
      <c r="G7" s="1"/>
      <c r="H7" s="124">
        <v>0</v>
      </c>
      <c r="I7" s="126"/>
      <c r="J7" s="1"/>
      <c r="K7" s="129">
        <v>0</v>
      </c>
      <c r="L7" s="131"/>
      <c r="M7" s="1"/>
      <c r="N7" s="117" t="s">
        <v>50</v>
      </c>
      <c r="O7" s="118">
        <v>0</v>
      </c>
      <c r="P7" s="1"/>
      <c r="Q7" s="1"/>
      <c r="R7" s="1"/>
      <c r="S7" s="1"/>
      <c r="T7" s="1"/>
      <c r="U7" s="1"/>
      <c r="V7" s="1"/>
      <c r="W7" s="1"/>
    </row>
    <row r="8" spans="1:23">
      <c r="A8" s="2">
        <f t="shared" si="1"/>
        <v>2029</v>
      </c>
      <c r="B8" s="26"/>
      <c r="C8" s="23"/>
      <c r="D8" s="31">
        <f t="shared" si="2"/>
        <v>12672477.698409999</v>
      </c>
      <c r="E8" s="55">
        <f t="shared" si="3"/>
        <v>1</v>
      </c>
      <c r="F8" s="1">
        <f t="shared" si="0"/>
        <v>12672477.698409999</v>
      </c>
      <c r="G8" s="1"/>
      <c r="H8" s="124">
        <v>0</v>
      </c>
      <c r="I8" s="126"/>
      <c r="J8" s="1"/>
      <c r="K8" s="129">
        <v>0</v>
      </c>
      <c r="L8" s="131"/>
      <c r="M8" s="1"/>
      <c r="N8" s="117" t="s">
        <v>51</v>
      </c>
      <c r="O8" s="118">
        <v>0</v>
      </c>
      <c r="P8" s="1"/>
      <c r="Q8" s="1"/>
      <c r="R8" s="1"/>
      <c r="S8" s="1"/>
      <c r="T8" s="1"/>
      <c r="U8" s="1"/>
      <c r="V8" s="1"/>
      <c r="W8" s="1"/>
    </row>
    <row r="9" spans="1:23">
      <c r="A9" s="2">
        <f t="shared" si="1"/>
        <v>2030</v>
      </c>
      <c r="B9" s="26"/>
      <c r="C9" s="23"/>
      <c r="D9" s="31">
        <f t="shared" si="2"/>
        <v>13445498.838013008</v>
      </c>
      <c r="E9" s="55">
        <f t="shared" si="3"/>
        <v>1</v>
      </c>
      <c r="F9" s="1">
        <f t="shared" si="0"/>
        <v>13445498.838013008</v>
      </c>
      <c r="G9" s="1"/>
      <c r="H9" s="124">
        <v>0</v>
      </c>
      <c r="I9" s="126"/>
      <c r="J9" s="1"/>
      <c r="K9" s="129">
        <v>0</v>
      </c>
      <c r="L9" s="131"/>
      <c r="M9" s="1"/>
      <c r="N9" s="117" t="s">
        <v>40</v>
      </c>
      <c r="O9" s="118">
        <v>0</v>
      </c>
      <c r="P9" s="1"/>
      <c r="Q9" s="1"/>
      <c r="R9" s="1"/>
      <c r="S9" s="1"/>
      <c r="T9" s="1"/>
      <c r="U9" s="1"/>
      <c r="V9" s="1"/>
      <c r="W9" s="1"/>
    </row>
    <row r="10" spans="1:23">
      <c r="A10" s="2">
        <f t="shared" si="1"/>
        <v>2031</v>
      </c>
      <c r="B10" s="26"/>
      <c r="C10" s="23"/>
      <c r="D10" s="31">
        <f t="shared" si="2"/>
        <v>14265674.267131802</v>
      </c>
      <c r="E10" s="55">
        <f t="shared" si="3"/>
        <v>1</v>
      </c>
      <c r="F10" s="1">
        <f t="shared" si="0"/>
        <v>14265674.267131802</v>
      </c>
      <c r="G10" s="1"/>
      <c r="H10" s="124">
        <v>0</v>
      </c>
      <c r="I10" s="126"/>
      <c r="J10" s="1"/>
      <c r="K10" s="129">
        <v>0</v>
      </c>
      <c r="L10" s="131"/>
      <c r="M10" s="1"/>
      <c r="N10" s="117" t="s">
        <v>42</v>
      </c>
      <c r="O10" s="118">
        <v>0</v>
      </c>
      <c r="P10" s="1"/>
      <c r="Q10" s="1"/>
      <c r="R10" s="1"/>
      <c r="S10" s="1"/>
      <c r="T10" s="1"/>
      <c r="U10" s="1"/>
      <c r="V10" s="1"/>
      <c r="W10" s="1"/>
    </row>
    <row r="11" spans="1:23">
      <c r="A11" s="2">
        <f t="shared" si="1"/>
        <v>2032</v>
      </c>
      <c r="B11" s="26"/>
      <c r="C11" s="23"/>
      <c r="D11" s="31">
        <f t="shared" si="2"/>
        <v>15135880.39742684</v>
      </c>
      <c r="E11" s="55">
        <f t="shared" si="3"/>
        <v>1</v>
      </c>
      <c r="F11" s="1">
        <f t="shared" si="0"/>
        <v>15135880.39742684</v>
      </c>
      <c r="G11" s="1"/>
      <c r="H11" s="124">
        <v>0</v>
      </c>
      <c r="I11" s="126"/>
      <c r="J11" s="1"/>
      <c r="K11" s="129">
        <v>0</v>
      </c>
      <c r="L11" s="131"/>
      <c r="M11" s="1"/>
      <c r="N11" s="117"/>
      <c r="O11" s="118"/>
      <c r="P11" s="1"/>
      <c r="Q11" s="1"/>
      <c r="R11" s="1"/>
      <c r="S11" s="1"/>
      <c r="T11" s="1"/>
      <c r="U11" s="1"/>
      <c r="V11" s="1"/>
      <c r="W11" s="1"/>
    </row>
    <row r="12" spans="1:23">
      <c r="A12" s="2">
        <f t="shared" si="1"/>
        <v>2033</v>
      </c>
      <c r="B12" s="26"/>
      <c r="C12" s="23"/>
      <c r="D12" s="31">
        <f t="shared" si="2"/>
        <v>16059169.101669876</v>
      </c>
      <c r="E12" s="55">
        <f t="shared" si="3"/>
        <v>1</v>
      </c>
      <c r="F12" s="1">
        <f t="shared" si="0"/>
        <v>16059169.101669876</v>
      </c>
      <c r="G12" s="1"/>
      <c r="H12" s="124">
        <v>0</v>
      </c>
      <c r="I12" s="126"/>
      <c r="J12" s="1"/>
      <c r="K12" s="129">
        <v>0</v>
      </c>
      <c r="L12" s="131"/>
      <c r="M12" s="1"/>
      <c r="N12" s="119" t="s">
        <v>1</v>
      </c>
      <c r="O12" s="120">
        <f>SUM(O4:O10)</f>
        <v>1</v>
      </c>
      <c r="P12" s="1"/>
      <c r="Q12" s="1"/>
      <c r="R12" s="1"/>
      <c r="S12" s="1"/>
      <c r="T12" s="1"/>
      <c r="U12" s="1"/>
      <c r="V12" s="1"/>
      <c r="W12" s="1"/>
    </row>
    <row r="13" spans="1:23">
      <c r="A13" s="2">
        <f t="shared" si="1"/>
        <v>2034</v>
      </c>
      <c r="B13" s="26"/>
      <c r="C13" s="23"/>
      <c r="D13" s="31">
        <f t="shared" si="2"/>
        <v>17038778.416871738</v>
      </c>
      <c r="E13" s="55">
        <f t="shared" si="3"/>
        <v>1</v>
      </c>
      <c r="F13" s="1">
        <f t="shared" si="0"/>
        <v>17038778.416871738</v>
      </c>
      <c r="G13" s="1"/>
      <c r="H13" s="124">
        <v>0</v>
      </c>
      <c r="I13" s="126"/>
      <c r="J13" s="1"/>
      <c r="K13" s="129">
        <v>0</v>
      </c>
      <c r="L13" s="13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2">
        <f t="shared" si="1"/>
        <v>2035</v>
      </c>
      <c r="B14" s="26"/>
      <c r="C14" s="23"/>
      <c r="D14" s="31">
        <f t="shared" si="2"/>
        <v>18078143.900300913</v>
      </c>
      <c r="E14" s="55">
        <f t="shared" si="3"/>
        <v>1</v>
      </c>
      <c r="F14" s="1">
        <f t="shared" si="0"/>
        <v>18078143.900300913</v>
      </c>
      <c r="G14" s="1"/>
      <c r="H14" s="124">
        <v>0</v>
      </c>
      <c r="I14" s="126"/>
      <c r="J14" s="1"/>
      <c r="K14" s="129">
        <v>0</v>
      </c>
      <c r="L14" s="13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2">
        <f t="shared" si="1"/>
        <v>2036</v>
      </c>
      <c r="B15" s="26"/>
      <c r="C15" s="23"/>
      <c r="D15" s="31">
        <f t="shared" si="2"/>
        <v>19180910.678219266</v>
      </c>
      <c r="E15" s="55">
        <f t="shared" si="3"/>
        <v>1</v>
      </c>
      <c r="F15" s="1">
        <f t="shared" si="0"/>
        <v>19180910.678219266</v>
      </c>
      <c r="G15" s="1"/>
      <c r="H15" s="124">
        <v>0</v>
      </c>
      <c r="I15" s="126"/>
      <c r="J15" s="1"/>
      <c r="K15" s="129">
        <v>0</v>
      </c>
      <c r="L15" s="13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2">
        <f t="shared" si="1"/>
        <v>2037</v>
      </c>
      <c r="B16" s="26"/>
      <c r="C16" s="23"/>
      <c r="D16" s="31">
        <f t="shared" si="2"/>
        <v>20350946.229590639</v>
      </c>
      <c r="E16" s="55">
        <f t="shared" si="3"/>
        <v>1</v>
      </c>
      <c r="F16" s="1">
        <f t="shared" si="0"/>
        <v>20350946.229590639</v>
      </c>
      <c r="G16" s="1"/>
      <c r="H16" s="124">
        <v>0</v>
      </c>
      <c r="I16" s="126"/>
      <c r="J16" s="1"/>
      <c r="K16" s="129">
        <v>0</v>
      </c>
      <c r="L16" s="13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2">
        <f t="shared" si="1"/>
        <v>2038</v>
      </c>
      <c r="B17" s="26"/>
      <c r="C17" s="23"/>
      <c r="D17" s="31">
        <f t="shared" si="2"/>
        <v>21592353.949595667</v>
      </c>
      <c r="E17" s="55">
        <f t="shared" si="3"/>
        <v>1</v>
      </c>
      <c r="F17" s="1">
        <f t="shared" si="0"/>
        <v>21592353.949595667</v>
      </c>
      <c r="G17" s="1"/>
      <c r="H17" s="124">
        <v>0</v>
      </c>
      <c r="I17" s="126"/>
      <c r="J17" s="1"/>
      <c r="K17" s="129">
        <v>0</v>
      </c>
      <c r="L17" s="13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2">
        <f t="shared" si="1"/>
        <v>2039</v>
      </c>
      <c r="B18" s="26"/>
      <c r="C18" s="23"/>
      <c r="D18" s="31">
        <f t="shared" si="2"/>
        <v>22909487.540521003</v>
      </c>
      <c r="E18" s="55">
        <f t="shared" si="3"/>
        <v>1</v>
      </c>
      <c r="F18" s="1">
        <f t="shared" si="0"/>
        <v>22909487.540521003</v>
      </c>
      <c r="G18" s="1"/>
      <c r="H18" s="124">
        <v>0</v>
      </c>
      <c r="I18" s="126"/>
      <c r="J18" s="1"/>
      <c r="K18" s="129">
        <v>0</v>
      </c>
      <c r="L18" s="13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3"/>
    </row>
    <row r="20" spans="1:23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"/>
    </row>
    <row r="21" spans="1:23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"/>
    </row>
    <row r="22" spans="1:23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3"/>
    </row>
    <row r="23" spans="1:23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3"/>
    </row>
    <row r="24" spans="1:23">
      <c r="A24" s="3"/>
      <c r="B24" s="3"/>
      <c r="C24" s="1"/>
      <c r="D24" s="1"/>
      <c r="E24" s="1"/>
      <c r="F24" s="41"/>
      <c r="G24" s="50"/>
      <c r="H24" s="51"/>
      <c r="I24" s="1"/>
      <c r="J24" s="1"/>
      <c r="K24" s="1"/>
      <c r="L24" s="1"/>
      <c r="M24" s="1"/>
      <c r="N24" s="1"/>
      <c r="O24" s="1"/>
      <c r="P24" s="1"/>
      <c r="Q24" s="1"/>
      <c r="R24" s="3"/>
    </row>
    <row r="25" spans="1:23">
      <c r="A25" s="3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"/>
    </row>
    <row r="26" spans="1:23">
      <c r="A26" s="3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"/>
    </row>
    <row r="27" spans="1:23">
      <c r="A27" s="132" t="s">
        <v>62</v>
      </c>
      <c r="B27" s="121" t="s">
        <v>302</v>
      </c>
      <c r="C27" s="114"/>
      <c r="D27" s="39" t="s">
        <v>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23" s="45" customFormat="1" ht="22.5">
      <c r="A28" s="42" t="s">
        <v>30</v>
      </c>
      <c r="B28" s="43" t="s">
        <v>0</v>
      </c>
      <c r="C28" s="44" t="s">
        <v>46</v>
      </c>
      <c r="D28" s="48">
        <v>2025</v>
      </c>
      <c r="E28" s="42">
        <f>D28+1</f>
        <v>2026</v>
      </c>
      <c r="F28" s="42">
        <f t="shared" ref="F28:R28" si="4">E28+1</f>
        <v>2027</v>
      </c>
      <c r="G28" s="42">
        <f t="shared" si="4"/>
        <v>2028</v>
      </c>
      <c r="H28" s="42">
        <f t="shared" si="4"/>
        <v>2029</v>
      </c>
      <c r="I28" s="42">
        <f t="shared" si="4"/>
        <v>2030</v>
      </c>
      <c r="J28" s="42">
        <f t="shared" si="4"/>
        <v>2031</v>
      </c>
      <c r="K28" s="42">
        <f t="shared" si="4"/>
        <v>2032</v>
      </c>
      <c r="L28" s="42">
        <f t="shared" si="4"/>
        <v>2033</v>
      </c>
      <c r="M28" s="42">
        <f t="shared" si="4"/>
        <v>2034</v>
      </c>
      <c r="N28" s="42">
        <f t="shared" si="4"/>
        <v>2035</v>
      </c>
      <c r="O28" s="42">
        <f t="shared" si="4"/>
        <v>2036</v>
      </c>
      <c r="P28" s="42">
        <f t="shared" si="4"/>
        <v>2037</v>
      </c>
      <c r="Q28" s="42">
        <f t="shared" si="4"/>
        <v>2038</v>
      </c>
      <c r="R28" s="42">
        <f t="shared" si="4"/>
        <v>2039</v>
      </c>
    </row>
    <row r="29" spans="1:23">
      <c r="R29" s="17"/>
    </row>
    <row r="30" spans="1:23">
      <c r="A30" s="21"/>
      <c r="B30" s="23">
        <v>0</v>
      </c>
      <c r="C30" s="20"/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</row>
    <row r="31" spans="1:23">
      <c r="R31" s="17"/>
    </row>
    <row r="32" spans="1:23">
      <c r="C32" s="57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</row>
    <row r="33" spans="1:18">
      <c r="C33" s="39"/>
      <c r="D33" s="39" t="s">
        <v>38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15" t="s">
        <v>30</v>
      </c>
      <c r="B34" s="16" t="s">
        <v>0</v>
      </c>
      <c r="C34" s="15"/>
      <c r="D34" s="15">
        <f t="shared" ref="D34:R34" si="5">D$100</f>
        <v>2025</v>
      </c>
      <c r="E34" s="15">
        <f t="shared" si="5"/>
        <v>2026</v>
      </c>
      <c r="F34" s="15">
        <f t="shared" si="5"/>
        <v>2027</v>
      </c>
      <c r="G34" s="15">
        <f t="shared" si="5"/>
        <v>2028</v>
      </c>
      <c r="H34" s="15">
        <f t="shared" si="5"/>
        <v>2029</v>
      </c>
      <c r="I34" s="15">
        <f t="shared" si="5"/>
        <v>2030</v>
      </c>
      <c r="J34" s="15">
        <f t="shared" si="5"/>
        <v>2031</v>
      </c>
      <c r="K34" s="15">
        <f t="shared" si="5"/>
        <v>2032</v>
      </c>
      <c r="L34" s="15">
        <f t="shared" si="5"/>
        <v>2033</v>
      </c>
      <c r="M34" s="15">
        <f t="shared" si="5"/>
        <v>2034</v>
      </c>
      <c r="N34" s="15">
        <f t="shared" si="5"/>
        <v>2035</v>
      </c>
      <c r="O34" s="15">
        <f t="shared" si="5"/>
        <v>2036</v>
      </c>
      <c r="P34" s="15">
        <f t="shared" si="5"/>
        <v>2037</v>
      </c>
      <c r="Q34" s="15">
        <f t="shared" si="5"/>
        <v>2038</v>
      </c>
      <c r="R34" s="15">
        <f t="shared" si="5"/>
        <v>2039</v>
      </c>
    </row>
    <row r="35" spans="1:18">
      <c r="A35" s="15"/>
      <c r="B35" s="1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>
      <c r="A36" s="21"/>
      <c r="B36" s="64">
        <v>0</v>
      </c>
      <c r="C36" s="20"/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</row>
    <row r="37" spans="1:18">
      <c r="A37" s="2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>
      <c r="C38" s="39"/>
      <c r="D38" s="39" t="s">
        <v>39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15" t="s">
        <v>30</v>
      </c>
      <c r="B39" s="16" t="s">
        <v>0</v>
      </c>
      <c r="C39" s="15"/>
      <c r="D39" s="15">
        <f t="shared" ref="D39:R39" si="6">D$100</f>
        <v>2025</v>
      </c>
      <c r="E39" s="15">
        <f t="shared" si="6"/>
        <v>2026</v>
      </c>
      <c r="F39" s="15">
        <f t="shared" si="6"/>
        <v>2027</v>
      </c>
      <c r="G39" s="15">
        <f t="shared" si="6"/>
        <v>2028</v>
      </c>
      <c r="H39" s="15">
        <f t="shared" si="6"/>
        <v>2029</v>
      </c>
      <c r="I39" s="15">
        <f t="shared" si="6"/>
        <v>2030</v>
      </c>
      <c r="J39" s="15">
        <f t="shared" si="6"/>
        <v>2031</v>
      </c>
      <c r="K39" s="15">
        <f t="shared" si="6"/>
        <v>2032</v>
      </c>
      <c r="L39" s="15">
        <f t="shared" si="6"/>
        <v>2033</v>
      </c>
      <c r="M39" s="15">
        <f t="shared" si="6"/>
        <v>2034</v>
      </c>
      <c r="N39" s="15">
        <f t="shared" si="6"/>
        <v>2035</v>
      </c>
      <c r="O39" s="15">
        <f t="shared" si="6"/>
        <v>2036</v>
      </c>
      <c r="P39" s="15">
        <f t="shared" si="6"/>
        <v>2037</v>
      </c>
      <c r="Q39" s="15">
        <f t="shared" si="6"/>
        <v>2038</v>
      </c>
      <c r="R39" s="15">
        <f t="shared" si="6"/>
        <v>2039</v>
      </c>
    </row>
    <row r="40" spans="1:18">
      <c r="R40" s="17"/>
    </row>
    <row r="41" spans="1:18">
      <c r="A41" s="21"/>
      <c r="B41" s="64">
        <v>0</v>
      </c>
      <c r="C41" s="20"/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</row>
    <row r="42" spans="1:18">
      <c r="R42" s="17"/>
    </row>
    <row r="43" spans="1:18">
      <c r="C43" s="39"/>
      <c r="D43" s="39" t="s">
        <v>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15" t="s">
        <v>30</v>
      </c>
      <c r="B44" s="16" t="s">
        <v>0</v>
      </c>
      <c r="C44" s="15"/>
      <c r="D44" s="15">
        <f t="shared" ref="D44:R44" si="7">D$100</f>
        <v>2025</v>
      </c>
      <c r="E44" s="15">
        <f t="shared" si="7"/>
        <v>2026</v>
      </c>
      <c r="F44" s="15">
        <f t="shared" si="7"/>
        <v>2027</v>
      </c>
      <c r="G44" s="15">
        <f t="shared" si="7"/>
        <v>2028</v>
      </c>
      <c r="H44" s="15">
        <f t="shared" si="7"/>
        <v>2029</v>
      </c>
      <c r="I44" s="15">
        <f t="shared" si="7"/>
        <v>2030</v>
      </c>
      <c r="J44" s="15">
        <f t="shared" si="7"/>
        <v>2031</v>
      </c>
      <c r="K44" s="15">
        <f t="shared" si="7"/>
        <v>2032</v>
      </c>
      <c r="L44" s="15">
        <f t="shared" si="7"/>
        <v>2033</v>
      </c>
      <c r="M44" s="15">
        <f t="shared" si="7"/>
        <v>2034</v>
      </c>
      <c r="N44" s="15">
        <f t="shared" si="7"/>
        <v>2035</v>
      </c>
      <c r="O44" s="15">
        <f t="shared" si="7"/>
        <v>2036</v>
      </c>
      <c r="P44" s="15">
        <f t="shared" si="7"/>
        <v>2037</v>
      </c>
      <c r="Q44" s="15">
        <f t="shared" si="7"/>
        <v>2038</v>
      </c>
      <c r="R44" s="15">
        <f t="shared" si="7"/>
        <v>2039</v>
      </c>
    </row>
    <row r="45" spans="1:18">
      <c r="R45" s="17"/>
    </row>
    <row r="46" spans="1:18">
      <c r="A46" s="21"/>
      <c r="B46" s="64">
        <v>0</v>
      </c>
      <c r="C46" s="20"/>
      <c r="D46" s="63">
        <f>D36+D41</f>
        <v>0</v>
      </c>
      <c r="E46" s="63">
        <f>E36+E41</f>
        <v>0</v>
      </c>
      <c r="F46" s="63">
        <f t="shared" ref="F46:R46" si="8">F36+F41</f>
        <v>0</v>
      </c>
      <c r="G46" s="63">
        <f t="shared" si="8"/>
        <v>0</v>
      </c>
      <c r="H46" s="63">
        <f t="shared" si="8"/>
        <v>0</v>
      </c>
      <c r="I46" s="63">
        <f t="shared" si="8"/>
        <v>0</v>
      </c>
      <c r="J46" s="63">
        <f t="shared" si="8"/>
        <v>0</v>
      </c>
      <c r="K46" s="63">
        <f t="shared" si="8"/>
        <v>0</v>
      </c>
      <c r="L46" s="63">
        <f t="shared" si="8"/>
        <v>0</v>
      </c>
      <c r="M46" s="63">
        <f t="shared" si="8"/>
        <v>0</v>
      </c>
      <c r="N46" s="63">
        <f t="shared" si="8"/>
        <v>0</v>
      </c>
      <c r="O46" s="63">
        <f t="shared" si="8"/>
        <v>0</v>
      </c>
      <c r="P46" s="63">
        <f t="shared" si="8"/>
        <v>0</v>
      </c>
      <c r="Q46" s="63">
        <f t="shared" si="8"/>
        <v>0</v>
      </c>
      <c r="R46" s="63">
        <f t="shared" si="8"/>
        <v>0</v>
      </c>
    </row>
    <row r="47" spans="1:18">
      <c r="A47" s="21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</row>
    <row r="48" spans="1:18">
      <c r="R48" s="17"/>
    </row>
    <row r="49" spans="1:19">
      <c r="A49" s="21" t="s">
        <v>37</v>
      </c>
      <c r="C49" s="20"/>
      <c r="D49" s="20">
        <f>D46</f>
        <v>0</v>
      </c>
      <c r="E49" s="20">
        <f>D49+E46</f>
        <v>0</v>
      </c>
      <c r="F49" s="20">
        <f>E49+F46</f>
        <v>0</v>
      </c>
      <c r="G49" s="20">
        <f>F49+G46</f>
        <v>0</v>
      </c>
      <c r="H49" s="20">
        <f>G49+H46</f>
        <v>0</v>
      </c>
      <c r="I49" s="20">
        <f t="shared" ref="I49:R49" si="9">H49+I46</f>
        <v>0</v>
      </c>
      <c r="J49" s="20">
        <f t="shared" si="9"/>
        <v>0</v>
      </c>
      <c r="K49" s="20">
        <f t="shared" si="9"/>
        <v>0</v>
      </c>
      <c r="L49" s="20">
        <f t="shared" si="9"/>
        <v>0</v>
      </c>
      <c r="M49" s="20">
        <f t="shared" si="9"/>
        <v>0</v>
      </c>
      <c r="N49" s="20">
        <f t="shared" si="9"/>
        <v>0</v>
      </c>
      <c r="O49" s="20">
        <f t="shared" si="9"/>
        <v>0</v>
      </c>
      <c r="P49" s="20">
        <f t="shared" si="9"/>
        <v>0</v>
      </c>
      <c r="Q49" s="20">
        <f t="shared" si="9"/>
        <v>0</v>
      </c>
      <c r="R49" s="20">
        <f t="shared" si="9"/>
        <v>0</v>
      </c>
    </row>
    <row r="50" spans="1:19">
      <c r="A50" s="3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3"/>
    </row>
    <row r="51" spans="1:19">
      <c r="A51" s="133" t="s">
        <v>320</v>
      </c>
      <c r="B51" s="3"/>
      <c r="C51" s="3"/>
      <c r="D51" s="39" t="s">
        <v>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9" s="45" customFormat="1" ht="22.5">
      <c r="A52" s="42" t="s">
        <v>30</v>
      </c>
      <c r="B52" s="43" t="s">
        <v>0</v>
      </c>
      <c r="C52" s="44" t="s">
        <v>46</v>
      </c>
      <c r="D52" s="48">
        <v>2025</v>
      </c>
      <c r="E52" s="42">
        <f>D52+1</f>
        <v>2026</v>
      </c>
      <c r="F52" s="42">
        <f t="shared" ref="F52:R52" si="10">E52+1</f>
        <v>2027</v>
      </c>
      <c r="G52" s="42">
        <f t="shared" si="10"/>
        <v>2028</v>
      </c>
      <c r="H52" s="42">
        <f t="shared" si="10"/>
        <v>2029</v>
      </c>
      <c r="I52" s="42">
        <f t="shared" si="10"/>
        <v>2030</v>
      </c>
      <c r="J52" s="42">
        <f t="shared" si="10"/>
        <v>2031</v>
      </c>
      <c r="K52" s="42">
        <f t="shared" si="10"/>
        <v>2032</v>
      </c>
      <c r="L52" s="42">
        <f t="shared" si="10"/>
        <v>2033</v>
      </c>
      <c r="M52" s="42">
        <f t="shared" si="10"/>
        <v>2034</v>
      </c>
      <c r="N52" s="42">
        <f t="shared" si="10"/>
        <v>2035</v>
      </c>
      <c r="O52" s="42">
        <f t="shared" si="10"/>
        <v>2036</v>
      </c>
      <c r="P52" s="42">
        <f t="shared" si="10"/>
        <v>2037</v>
      </c>
      <c r="Q52" s="42">
        <f t="shared" si="10"/>
        <v>2038</v>
      </c>
      <c r="R52" s="42">
        <f t="shared" si="10"/>
        <v>2039</v>
      </c>
    </row>
    <row r="53" spans="1:19">
      <c r="R53" s="17"/>
    </row>
    <row r="54" spans="1:19">
      <c r="A54" s="21"/>
      <c r="B54" s="23">
        <f>SUM(K4:K18)</f>
        <v>0</v>
      </c>
      <c r="C54" s="20">
        <v>10000000</v>
      </c>
      <c r="D54" s="64">
        <f>(C54+D146+D170)*(1+LTCMAs!$K$10)</f>
        <v>4990428.6068125451</v>
      </c>
      <c r="E54" s="64">
        <f>(D54+E146+E170)*(1+LTCMAs!$K$10)</f>
        <v>4567421.0742672142</v>
      </c>
      <c r="F54" s="64">
        <f>(E54+F146+F170)*(1+LTCMAs!$K$10)</f>
        <v>3715114.9835156719</v>
      </c>
      <c r="G54" s="64">
        <f>(F54+G146+G170)*(1+LTCMAs!$K$10)</f>
        <v>2594610.2203832255</v>
      </c>
      <c r="H54" s="64">
        <f>(G54+H146+H170)*(1+LTCMAs!$K$10)</f>
        <v>1503831.8233717212</v>
      </c>
      <c r="I54" s="64">
        <f>(H54+I146+I170)*(1+LTCMAs!$K$10)</f>
        <v>596939.1592080018</v>
      </c>
      <c r="J54" s="64">
        <f>(I54+J146+J170)*(1+LTCMAs!$K$10)</f>
        <v>90520.410130619741</v>
      </c>
      <c r="K54" s="64">
        <f>(J54+K146+K170)*(1+LTCMAs!$K$10)</f>
        <v>21533.67004174805</v>
      </c>
      <c r="L54" s="64">
        <f>(K54+L146+L170)*(1+LTCMAs!$K$10)</f>
        <v>349375.44636983774</v>
      </c>
      <c r="M54" s="64">
        <f>(L54+M146+M170)*(1+LTCMAs!$K$10)</f>
        <v>998395.55746733735</v>
      </c>
      <c r="N54" s="64">
        <f>(M54+N146+N170)*(1+LTCMAs!$K$10)</f>
        <v>2004602.7096222444</v>
      </c>
      <c r="O54" s="64">
        <f>(N54+O146+O170)*(1+LTCMAs!$K$10)</f>
        <v>3249929.5463213739</v>
      </c>
      <c r="P54" s="64">
        <f>(O54+P146+P170)*(1+LTCMAs!$K$10)</f>
        <v>4713145.1612950442</v>
      </c>
      <c r="Q54" s="64">
        <f>(P54+Q146+Q170)*(1+LTCMAs!$K$10)</f>
        <v>6347568.6164354337</v>
      </c>
      <c r="R54" s="64">
        <f>(Q54+R146+R170)*(1+LTCMAs!$K$10)</f>
        <v>8158798.7236967497</v>
      </c>
      <c r="S54" s="64"/>
    </row>
    <row r="55" spans="1:19">
      <c r="R55" s="17"/>
    </row>
    <row r="56" spans="1:19">
      <c r="C56" s="57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</row>
    <row r="57" spans="1:19">
      <c r="C57" s="39"/>
      <c r="D57" s="39" t="s">
        <v>38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9">
      <c r="A58" s="15" t="s">
        <v>30</v>
      </c>
      <c r="B58" s="16" t="s">
        <v>0</v>
      </c>
      <c r="C58" s="15"/>
      <c r="D58" s="15">
        <f t="shared" ref="D58:R58" si="11">D$100</f>
        <v>2025</v>
      </c>
      <c r="E58" s="15">
        <f t="shared" si="11"/>
        <v>2026</v>
      </c>
      <c r="F58" s="15">
        <f t="shared" si="11"/>
        <v>2027</v>
      </c>
      <c r="G58" s="15">
        <f t="shared" si="11"/>
        <v>2028</v>
      </c>
      <c r="H58" s="15">
        <f t="shared" si="11"/>
        <v>2029</v>
      </c>
      <c r="I58" s="15">
        <f t="shared" si="11"/>
        <v>2030</v>
      </c>
      <c r="J58" s="15">
        <f t="shared" si="11"/>
        <v>2031</v>
      </c>
      <c r="K58" s="15">
        <f t="shared" si="11"/>
        <v>2032</v>
      </c>
      <c r="L58" s="15">
        <f t="shared" si="11"/>
        <v>2033</v>
      </c>
      <c r="M58" s="15">
        <f t="shared" si="11"/>
        <v>2034</v>
      </c>
      <c r="N58" s="15">
        <f t="shared" si="11"/>
        <v>2035</v>
      </c>
      <c r="O58" s="15">
        <f t="shared" si="11"/>
        <v>2036</v>
      </c>
      <c r="P58" s="15">
        <f t="shared" si="11"/>
        <v>2037</v>
      </c>
      <c r="Q58" s="15">
        <f t="shared" si="11"/>
        <v>2038</v>
      </c>
      <c r="R58" s="15">
        <f t="shared" si="11"/>
        <v>2039</v>
      </c>
    </row>
    <row r="59" spans="1:19">
      <c r="A59" s="15"/>
      <c r="B59" s="16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9">
      <c r="A60" s="21"/>
      <c r="B60" s="23">
        <f>SUM(K4:K18)</f>
        <v>0</v>
      </c>
      <c r="C60" s="20"/>
      <c r="D60" s="64">
        <f>-K4</f>
        <v>0</v>
      </c>
      <c r="E60" s="64">
        <f>-$K5</f>
        <v>0</v>
      </c>
      <c r="F60" s="64">
        <f>-$K6</f>
        <v>0</v>
      </c>
      <c r="G60" s="64">
        <f>-$K7</f>
        <v>0</v>
      </c>
      <c r="H60" s="64">
        <f>-$K8</f>
        <v>0</v>
      </c>
      <c r="I60" s="64">
        <f>-$K9</f>
        <v>0</v>
      </c>
      <c r="J60" s="64">
        <f>-$K10</f>
        <v>0</v>
      </c>
      <c r="K60" s="64">
        <f>-$K11</f>
        <v>0</v>
      </c>
      <c r="L60" s="64">
        <f>-$K12</f>
        <v>0</v>
      </c>
      <c r="M60" s="64">
        <f>-$K13</f>
        <v>0</v>
      </c>
      <c r="N60" s="64">
        <f>-$K14</f>
        <v>0</v>
      </c>
      <c r="O60" s="64">
        <f>-$K15</f>
        <v>0</v>
      </c>
      <c r="P60" s="64">
        <f>-$K16</f>
        <v>0</v>
      </c>
      <c r="Q60" s="64">
        <f>-$K17</f>
        <v>0</v>
      </c>
      <c r="R60" s="64">
        <f>-$K18</f>
        <v>0</v>
      </c>
    </row>
    <row r="61" spans="1:19">
      <c r="A61" s="21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19">
      <c r="C62" s="39"/>
      <c r="D62" s="39" t="s">
        <v>39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9">
      <c r="A63" s="15" t="s">
        <v>30</v>
      </c>
      <c r="B63" s="16" t="s">
        <v>0</v>
      </c>
      <c r="C63" s="15"/>
      <c r="D63" s="15">
        <f t="shared" ref="D63:R63" si="12">D$100</f>
        <v>2025</v>
      </c>
      <c r="E63" s="15">
        <f t="shared" si="12"/>
        <v>2026</v>
      </c>
      <c r="F63" s="15">
        <f t="shared" si="12"/>
        <v>2027</v>
      </c>
      <c r="G63" s="15">
        <f t="shared" si="12"/>
        <v>2028</v>
      </c>
      <c r="H63" s="15">
        <f t="shared" si="12"/>
        <v>2029</v>
      </c>
      <c r="I63" s="15">
        <f t="shared" si="12"/>
        <v>2030</v>
      </c>
      <c r="J63" s="15">
        <f t="shared" si="12"/>
        <v>2031</v>
      </c>
      <c r="K63" s="15">
        <f t="shared" si="12"/>
        <v>2032</v>
      </c>
      <c r="L63" s="15">
        <f t="shared" si="12"/>
        <v>2033</v>
      </c>
      <c r="M63" s="15">
        <f t="shared" si="12"/>
        <v>2034</v>
      </c>
      <c r="N63" s="15">
        <f t="shared" si="12"/>
        <v>2035</v>
      </c>
      <c r="O63" s="15">
        <f t="shared" si="12"/>
        <v>2036</v>
      </c>
      <c r="P63" s="15">
        <f t="shared" si="12"/>
        <v>2037</v>
      </c>
      <c r="Q63" s="15">
        <f t="shared" si="12"/>
        <v>2038</v>
      </c>
      <c r="R63" s="15">
        <f t="shared" si="12"/>
        <v>2039</v>
      </c>
    </row>
    <row r="64" spans="1:19">
      <c r="R64" s="17"/>
    </row>
    <row r="65" spans="1:18">
      <c r="A65" s="21"/>
      <c r="B65" s="23">
        <f>SUM(K4:K18)</f>
        <v>0</v>
      </c>
      <c r="C65" s="20"/>
      <c r="D65" s="17">
        <f>K4*$L$4</f>
        <v>0</v>
      </c>
      <c r="E65" s="17">
        <f>SUM($K4:$K5)*$L$4</f>
        <v>0</v>
      </c>
      <c r="F65" s="17">
        <f>SUM($K4:$K6)*$L$4</f>
        <v>0</v>
      </c>
      <c r="G65" s="17">
        <f>SUM($K4:$K7)*$L$4</f>
        <v>0</v>
      </c>
      <c r="H65" s="17">
        <f>SUM($K4:$K8)*$L$4</f>
        <v>0</v>
      </c>
      <c r="I65" s="17">
        <f>SUM($K4:$K9)*$L$4</f>
        <v>0</v>
      </c>
      <c r="J65" s="17">
        <f>SUM($K4:$K10)*$L$4</f>
        <v>0</v>
      </c>
      <c r="K65" s="17">
        <f>SUM($K4:$K11)*$L$4</f>
        <v>0</v>
      </c>
      <c r="L65" s="17">
        <f>SUM($K4:$K12)*$L$4</f>
        <v>0</v>
      </c>
      <c r="M65" s="17">
        <f>SUM($K4:$K13)*$L$4</f>
        <v>0</v>
      </c>
      <c r="N65" s="17">
        <f>SUM($K4:$K14)*$L$4</f>
        <v>0</v>
      </c>
      <c r="O65" s="17">
        <f>SUM($K4:$K15)*$L$4</f>
        <v>0</v>
      </c>
      <c r="P65" s="17">
        <f>SUM($K4:$K16)*$L$4</f>
        <v>0</v>
      </c>
      <c r="Q65" s="17">
        <f>SUM($K4:$K17)*$L$4</f>
        <v>0</v>
      </c>
      <c r="R65" s="17">
        <f>SUM($K4:$K18)*$L$4</f>
        <v>0</v>
      </c>
    </row>
    <row r="66" spans="1:18">
      <c r="R66" s="17"/>
    </row>
    <row r="67" spans="1:18">
      <c r="C67" s="39"/>
      <c r="D67" s="39" t="s">
        <v>2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15" t="s">
        <v>30</v>
      </c>
      <c r="B68" s="16" t="s">
        <v>0</v>
      </c>
      <c r="C68" s="15"/>
      <c r="D68" s="15">
        <f t="shared" ref="D68:R68" si="13">D$100</f>
        <v>2025</v>
      </c>
      <c r="E68" s="15">
        <f t="shared" si="13"/>
        <v>2026</v>
      </c>
      <c r="F68" s="15">
        <f t="shared" si="13"/>
        <v>2027</v>
      </c>
      <c r="G68" s="15">
        <f t="shared" si="13"/>
        <v>2028</v>
      </c>
      <c r="H68" s="15">
        <f t="shared" si="13"/>
        <v>2029</v>
      </c>
      <c r="I68" s="15">
        <f t="shared" si="13"/>
        <v>2030</v>
      </c>
      <c r="J68" s="15">
        <f t="shared" si="13"/>
        <v>2031</v>
      </c>
      <c r="K68" s="15">
        <f t="shared" si="13"/>
        <v>2032</v>
      </c>
      <c r="L68" s="15">
        <f t="shared" si="13"/>
        <v>2033</v>
      </c>
      <c r="M68" s="15">
        <f t="shared" si="13"/>
        <v>2034</v>
      </c>
      <c r="N68" s="15">
        <f t="shared" si="13"/>
        <v>2035</v>
      </c>
      <c r="O68" s="15">
        <f t="shared" si="13"/>
        <v>2036</v>
      </c>
      <c r="P68" s="15">
        <f t="shared" si="13"/>
        <v>2037</v>
      </c>
      <c r="Q68" s="15">
        <f t="shared" si="13"/>
        <v>2038</v>
      </c>
      <c r="R68" s="15">
        <f t="shared" si="13"/>
        <v>2039</v>
      </c>
    </row>
    <row r="69" spans="1:18">
      <c r="R69" s="17"/>
    </row>
    <row r="70" spans="1:18">
      <c r="A70" s="21"/>
      <c r="B70" s="23">
        <f>SUM(K4:K18)</f>
        <v>0</v>
      </c>
      <c r="C70" s="20"/>
      <c r="D70" s="63">
        <f>D60+D65</f>
        <v>0</v>
      </c>
      <c r="E70" s="63">
        <f t="shared" ref="E70:R70" si="14">E60+E65</f>
        <v>0</v>
      </c>
      <c r="F70" s="63">
        <f t="shared" si="14"/>
        <v>0</v>
      </c>
      <c r="G70" s="63">
        <f t="shared" si="14"/>
        <v>0</v>
      </c>
      <c r="H70" s="63">
        <f t="shared" si="14"/>
        <v>0</v>
      </c>
      <c r="I70" s="63">
        <f t="shared" si="14"/>
        <v>0</v>
      </c>
      <c r="J70" s="63">
        <f t="shared" si="14"/>
        <v>0</v>
      </c>
      <c r="K70" s="63">
        <f t="shared" si="14"/>
        <v>0</v>
      </c>
      <c r="L70" s="63">
        <f t="shared" si="14"/>
        <v>0</v>
      </c>
      <c r="M70" s="63">
        <f t="shared" si="14"/>
        <v>0</v>
      </c>
      <c r="N70" s="63">
        <f t="shared" si="14"/>
        <v>0</v>
      </c>
      <c r="O70" s="63">
        <f t="shared" si="14"/>
        <v>0</v>
      </c>
      <c r="P70" s="63">
        <f t="shared" si="14"/>
        <v>0</v>
      </c>
      <c r="Q70" s="63">
        <f t="shared" si="14"/>
        <v>0</v>
      </c>
      <c r="R70" s="63">
        <f t="shared" si="14"/>
        <v>0</v>
      </c>
    </row>
    <row r="71" spans="1:18">
      <c r="A71" s="21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1:18">
      <c r="R72" s="17"/>
    </row>
    <row r="73" spans="1:18">
      <c r="A73" s="21" t="s">
        <v>37</v>
      </c>
      <c r="C73" s="20"/>
      <c r="D73" s="20">
        <f>D70</f>
        <v>0</v>
      </c>
      <c r="E73" s="20">
        <f>D73+E70</f>
        <v>0</v>
      </c>
      <c r="F73" s="20">
        <f>E73+F70</f>
        <v>0</v>
      </c>
      <c r="G73" s="20">
        <f>F73+G70</f>
        <v>0</v>
      </c>
      <c r="H73" s="20">
        <f>G73+H70</f>
        <v>0</v>
      </c>
      <c r="I73" s="20">
        <f t="shared" ref="I73:R73" si="15">H73+I70</f>
        <v>0</v>
      </c>
      <c r="J73" s="20">
        <f t="shared" si="15"/>
        <v>0</v>
      </c>
      <c r="K73" s="20">
        <f t="shared" si="15"/>
        <v>0</v>
      </c>
      <c r="L73" s="20">
        <f t="shared" si="15"/>
        <v>0</v>
      </c>
      <c r="M73" s="20">
        <f t="shared" si="15"/>
        <v>0</v>
      </c>
      <c r="N73" s="20">
        <f t="shared" si="15"/>
        <v>0</v>
      </c>
      <c r="O73" s="20">
        <f t="shared" si="15"/>
        <v>0</v>
      </c>
      <c r="P73" s="20">
        <f t="shared" si="15"/>
        <v>0</v>
      </c>
      <c r="Q73" s="20">
        <f t="shared" si="15"/>
        <v>0</v>
      </c>
      <c r="R73" s="20">
        <f t="shared" si="15"/>
        <v>0</v>
      </c>
    </row>
    <row r="74" spans="1:18">
      <c r="A74" s="3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3"/>
    </row>
    <row r="75" spans="1:18">
      <c r="A75" s="134" t="s">
        <v>299</v>
      </c>
      <c r="B75" s="3"/>
      <c r="C75" s="3"/>
      <c r="D75" s="39" t="s">
        <v>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s="45" customFormat="1" ht="22.5">
      <c r="A76" s="42" t="s">
        <v>30</v>
      </c>
      <c r="B76" s="43" t="s">
        <v>0</v>
      </c>
      <c r="C76" s="44" t="s">
        <v>46</v>
      </c>
      <c r="D76" s="48">
        <v>2025</v>
      </c>
      <c r="E76" s="42">
        <f>D76+1</f>
        <v>2026</v>
      </c>
      <c r="F76" s="42">
        <f t="shared" ref="F76:R76" si="16">E76+1</f>
        <v>2027</v>
      </c>
      <c r="G76" s="42">
        <f t="shared" si="16"/>
        <v>2028</v>
      </c>
      <c r="H76" s="42">
        <f t="shared" si="16"/>
        <v>2029</v>
      </c>
      <c r="I76" s="42">
        <f t="shared" si="16"/>
        <v>2030</v>
      </c>
      <c r="J76" s="42">
        <f t="shared" si="16"/>
        <v>2031</v>
      </c>
      <c r="K76" s="42">
        <f t="shared" si="16"/>
        <v>2032</v>
      </c>
      <c r="L76" s="42">
        <f t="shared" si="16"/>
        <v>2033</v>
      </c>
      <c r="M76" s="42">
        <f t="shared" si="16"/>
        <v>2034</v>
      </c>
      <c r="N76" s="42">
        <f t="shared" si="16"/>
        <v>2035</v>
      </c>
      <c r="O76" s="42">
        <f t="shared" si="16"/>
        <v>2036</v>
      </c>
      <c r="P76" s="42">
        <f t="shared" si="16"/>
        <v>2037</v>
      </c>
      <c r="Q76" s="42">
        <f t="shared" si="16"/>
        <v>2038</v>
      </c>
      <c r="R76" s="42">
        <f t="shared" si="16"/>
        <v>2039</v>
      </c>
    </row>
    <row r="77" spans="1:18">
      <c r="R77" s="17"/>
    </row>
    <row r="78" spans="1:18">
      <c r="A78" s="21"/>
      <c r="B78" s="23">
        <f>SUM(H4:H18)</f>
        <v>5000000</v>
      </c>
      <c r="C78" s="20"/>
      <c r="D78" s="64">
        <f>H4*(1+$I$4)</f>
        <v>5469500.0000000009</v>
      </c>
      <c r="E78" s="64">
        <f t="shared" ref="E78:R78" si="17">D78*(1+$I$4)+E$84*(1+$I$4)</f>
        <v>5983086.0500000017</v>
      </c>
      <c r="F78" s="64">
        <f t="shared" si="17"/>
        <v>6544897.8300950024</v>
      </c>
      <c r="G78" s="64">
        <f t="shared" si="17"/>
        <v>7159463.7363409242</v>
      </c>
      <c r="H78" s="64">
        <f t="shared" si="17"/>
        <v>7831737.3811833374</v>
      </c>
      <c r="I78" s="64">
        <f t="shared" si="17"/>
        <v>8567137.5212764535</v>
      </c>
      <c r="J78" s="64">
        <f t="shared" si="17"/>
        <v>9371591.7345243134</v>
      </c>
      <c r="K78" s="64">
        <f t="shared" si="17"/>
        <v>10251584.198396148</v>
      </c>
      <c r="L78" s="64">
        <f t="shared" si="17"/>
        <v>11214207.954625547</v>
      </c>
      <c r="M78" s="64">
        <f t="shared" si="17"/>
        <v>12267222.081564886</v>
      </c>
      <c r="N78" s="64">
        <f t="shared" si="17"/>
        <v>13419114.23502383</v>
      </c>
      <c r="O78" s="64">
        <f t="shared" si="17"/>
        <v>14679169.061692569</v>
      </c>
      <c r="P78" s="64">
        <f t="shared" si="17"/>
        <v>16057543.036585502</v>
      </c>
      <c r="Q78" s="64">
        <f t="shared" si="17"/>
        <v>17565346.327720884</v>
      </c>
      <c r="R78" s="64">
        <f t="shared" si="17"/>
        <v>19214732.347893875</v>
      </c>
    </row>
    <row r="79" spans="1:18">
      <c r="R79" s="17"/>
    </row>
    <row r="80" spans="1:18">
      <c r="C80" s="57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</row>
    <row r="81" spans="1:18">
      <c r="C81" s="39"/>
      <c r="D81" s="39" t="s">
        <v>38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15" t="s">
        <v>30</v>
      </c>
      <c r="B82" s="16" t="s">
        <v>0</v>
      </c>
      <c r="C82" s="15"/>
      <c r="D82" s="15">
        <f t="shared" ref="D82:R82" si="18">D$100</f>
        <v>2025</v>
      </c>
      <c r="E82" s="15">
        <f t="shared" si="18"/>
        <v>2026</v>
      </c>
      <c r="F82" s="15">
        <f t="shared" si="18"/>
        <v>2027</v>
      </c>
      <c r="G82" s="15">
        <f t="shared" si="18"/>
        <v>2028</v>
      </c>
      <c r="H82" s="15">
        <f t="shared" si="18"/>
        <v>2029</v>
      </c>
      <c r="I82" s="15">
        <f t="shared" si="18"/>
        <v>2030</v>
      </c>
      <c r="J82" s="15">
        <f t="shared" si="18"/>
        <v>2031</v>
      </c>
      <c r="K82" s="15">
        <f t="shared" si="18"/>
        <v>2032</v>
      </c>
      <c r="L82" s="15">
        <f t="shared" si="18"/>
        <v>2033</v>
      </c>
      <c r="M82" s="15">
        <f t="shared" si="18"/>
        <v>2034</v>
      </c>
      <c r="N82" s="15">
        <f t="shared" si="18"/>
        <v>2035</v>
      </c>
      <c r="O82" s="15">
        <f t="shared" si="18"/>
        <v>2036</v>
      </c>
      <c r="P82" s="15">
        <f t="shared" si="18"/>
        <v>2037</v>
      </c>
      <c r="Q82" s="15">
        <f t="shared" si="18"/>
        <v>2038</v>
      </c>
      <c r="R82" s="15">
        <f t="shared" si="18"/>
        <v>2039</v>
      </c>
    </row>
    <row r="83" spans="1:18">
      <c r="A83" s="15"/>
      <c r="B83" s="1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>
      <c r="A84" s="21"/>
      <c r="B84" s="113">
        <f>SUM(H4:H18)</f>
        <v>5000000</v>
      </c>
      <c r="C84" s="20"/>
      <c r="D84" s="64">
        <f>-$H4</f>
        <v>-5000000</v>
      </c>
      <c r="E84" s="64">
        <f>-$H5</f>
        <v>0</v>
      </c>
      <c r="F84" s="64">
        <f>-$H6</f>
        <v>0</v>
      </c>
      <c r="G84" s="64">
        <f>-$H7</f>
        <v>0</v>
      </c>
      <c r="H84" s="64">
        <f>-$H8</f>
        <v>0</v>
      </c>
      <c r="I84" s="64">
        <f>-$H9</f>
        <v>0</v>
      </c>
      <c r="J84" s="64">
        <f>-$H10</f>
        <v>0</v>
      </c>
      <c r="K84" s="64">
        <f>-$H11</f>
        <v>0</v>
      </c>
      <c r="L84" s="64">
        <f>-H12</f>
        <v>0</v>
      </c>
      <c r="M84" s="64">
        <f>-H13</f>
        <v>0</v>
      </c>
      <c r="N84" s="64">
        <f>-H14</f>
        <v>0</v>
      </c>
      <c r="O84" s="64">
        <f>-H15</f>
        <v>0</v>
      </c>
      <c r="P84" s="64">
        <f>-H16</f>
        <v>0</v>
      </c>
      <c r="Q84" s="64">
        <f>-H17</f>
        <v>0</v>
      </c>
      <c r="R84" s="64">
        <f>-H18</f>
        <v>0</v>
      </c>
    </row>
    <row r="85" spans="1:18">
      <c r="A85" s="21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1:18">
      <c r="C86" s="39"/>
      <c r="D86" s="39" t="s">
        <v>39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15" t="s">
        <v>30</v>
      </c>
      <c r="B87" s="16" t="s">
        <v>0</v>
      </c>
      <c r="C87" s="15"/>
      <c r="D87" s="15">
        <f t="shared" ref="D87:R87" si="19">D$100</f>
        <v>2025</v>
      </c>
      <c r="E87" s="15">
        <f t="shared" si="19"/>
        <v>2026</v>
      </c>
      <c r="F87" s="15">
        <f t="shared" si="19"/>
        <v>2027</v>
      </c>
      <c r="G87" s="15">
        <f t="shared" si="19"/>
        <v>2028</v>
      </c>
      <c r="H87" s="15">
        <f t="shared" si="19"/>
        <v>2029</v>
      </c>
      <c r="I87" s="15">
        <f t="shared" si="19"/>
        <v>2030</v>
      </c>
      <c r="J87" s="15">
        <f t="shared" si="19"/>
        <v>2031</v>
      </c>
      <c r="K87" s="15">
        <f t="shared" si="19"/>
        <v>2032</v>
      </c>
      <c r="L87" s="15">
        <f t="shared" si="19"/>
        <v>2033</v>
      </c>
      <c r="M87" s="15">
        <f t="shared" si="19"/>
        <v>2034</v>
      </c>
      <c r="N87" s="15">
        <f t="shared" si="19"/>
        <v>2035</v>
      </c>
      <c r="O87" s="15">
        <f t="shared" si="19"/>
        <v>2036</v>
      </c>
      <c r="P87" s="15">
        <f t="shared" si="19"/>
        <v>2037</v>
      </c>
      <c r="Q87" s="15">
        <f t="shared" si="19"/>
        <v>2038</v>
      </c>
      <c r="R87" s="15">
        <f t="shared" si="19"/>
        <v>2039</v>
      </c>
    </row>
    <row r="88" spans="1:18">
      <c r="R88" s="17"/>
    </row>
    <row r="89" spans="1:18">
      <c r="A89" s="21"/>
      <c r="B89" s="113">
        <f>SUM(H4:H18)</f>
        <v>5000000</v>
      </c>
      <c r="C89" s="20"/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</row>
    <row r="90" spans="1:18">
      <c r="R90" s="17"/>
    </row>
    <row r="91" spans="1:18">
      <c r="C91" s="39"/>
      <c r="D91" s="39" t="s">
        <v>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15" t="s">
        <v>30</v>
      </c>
      <c r="B92" s="16" t="s">
        <v>0</v>
      </c>
      <c r="C92" s="15"/>
      <c r="D92" s="15">
        <f t="shared" ref="D92:R92" si="20">D$100</f>
        <v>2025</v>
      </c>
      <c r="E92" s="15">
        <f t="shared" si="20"/>
        <v>2026</v>
      </c>
      <c r="F92" s="15">
        <f t="shared" si="20"/>
        <v>2027</v>
      </c>
      <c r="G92" s="15">
        <f t="shared" si="20"/>
        <v>2028</v>
      </c>
      <c r="H92" s="15">
        <f t="shared" si="20"/>
        <v>2029</v>
      </c>
      <c r="I92" s="15">
        <f t="shared" si="20"/>
        <v>2030</v>
      </c>
      <c r="J92" s="15">
        <f t="shared" si="20"/>
        <v>2031</v>
      </c>
      <c r="K92" s="15">
        <f t="shared" si="20"/>
        <v>2032</v>
      </c>
      <c r="L92" s="15">
        <f t="shared" si="20"/>
        <v>2033</v>
      </c>
      <c r="M92" s="15">
        <f t="shared" si="20"/>
        <v>2034</v>
      </c>
      <c r="N92" s="15">
        <f t="shared" si="20"/>
        <v>2035</v>
      </c>
      <c r="O92" s="15">
        <f t="shared" si="20"/>
        <v>2036</v>
      </c>
      <c r="P92" s="15">
        <f t="shared" si="20"/>
        <v>2037</v>
      </c>
      <c r="Q92" s="15">
        <f t="shared" si="20"/>
        <v>2038</v>
      </c>
      <c r="R92" s="15">
        <f t="shared" si="20"/>
        <v>2039</v>
      </c>
    </row>
    <row r="93" spans="1:18">
      <c r="R93" s="17"/>
    </row>
    <row r="94" spans="1:18">
      <c r="A94" s="21"/>
      <c r="B94" s="113">
        <f>SUM(H4:H18)</f>
        <v>5000000</v>
      </c>
      <c r="C94" s="20"/>
      <c r="D94" s="63">
        <f>D84+D89</f>
        <v>-5000000</v>
      </c>
      <c r="E94" s="63">
        <f t="shared" ref="E94:R94" si="21">E84+E89</f>
        <v>0</v>
      </c>
      <c r="F94" s="63">
        <f t="shared" si="21"/>
        <v>0</v>
      </c>
      <c r="G94" s="63">
        <f t="shared" si="21"/>
        <v>0</v>
      </c>
      <c r="H94" s="63">
        <f t="shared" si="21"/>
        <v>0</v>
      </c>
      <c r="I94" s="63">
        <f t="shared" si="21"/>
        <v>0</v>
      </c>
      <c r="J94" s="63">
        <f t="shared" si="21"/>
        <v>0</v>
      </c>
      <c r="K94" s="63">
        <f t="shared" si="21"/>
        <v>0</v>
      </c>
      <c r="L94" s="63">
        <f t="shared" si="21"/>
        <v>0</v>
      </c>
      <c r="M94" s="63">
        <f t="shared" si="21"/>
        <v>0</v>
      </c>
      <c r="N94" s="63">
        <f t="shared" si="21"/>
        <v>0</v>
      </c>
      <c r="O94" s="63">
        <f t="shared" si="21"/>
        <v>0</v>
      </c>
      <c r="P94" s="63">
        <f t="shared" si="21"/>
        <v>0</v>
      </c>
      <c r="Q94" s="63">
        <f t="shared" si="21"/>
        <v>0</v>
      </c>
      <c r="R94" s="63">
        <f t="shared" si="21"/>
        <v>0</v>
      </c>
    </row>
    <row r="95" spans="1:18">
      <c r="A95" s="21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1:18">
      <c r="R96" s="17"/>
    </row>
    <row r="97" spans="1:18">
      <c r="A97" s="21" t="s">
        <v>37</v>
      </c>
      <c r="C97" s="20"/>
      <c r="D97" s="20">
        <f>SUM($D$94:D94)</f>
        <v>-5000000</v>
      </c>
      <c r="E97" s="20">
        <f>SUM($D$94:E94)</f>
        <v>-5000000</v>
      </c>
      <c r="F97" s="20">
        <f>SUM($D$94:F94)</f>
        <v>-5000000</v>
      </c>
      <c r="G97" s="20">
        <f>SUM($D$94:G94)</f>
        <v>-5000000</v>
      </c>
      <c r="H97" s="20">
        <f>SUM($D$94:H94)</f>
        <v>-5000000</v>
      </c>
      <c r="I97" s="20">
        <f>SUM($D$94:I94)</f>
        <v>-5000000</v>
      </c>
      <c r="J97" s="20">
        <f>SUM($D$94:J94)</f>
        <v>-5000000</v>
      </c>
      <c r="K97" s="20">
        <f>SUM($D$94:K94)</f>
        <v>-5000000</v>
      </c>
      <c r="L97" s="20">
        <f>SUM($D$94:L94)</f>
        <v>-5000000</v>
      </c>
      <c r="M97" s="20">
        <f>SUM($D$94:M94)</f>
        <v>-5000000</v>
      </c>
      <c r="N97" s="20">
        <f>SUM($D$94:N94)</f>
        <v>-5000000</v>
      </c>
      <c r="O97" s="20">
        <f>SUM($D$94:O94)</f>
        <v>-5000000</v>
      </c>
      <c r="P97" s="20">
        <f>SUM($D$94:P94)</f>
        <v>-5000000</v>
      </c>
      <c r="Q97" s="20">
        <f>SUM($D$94:Q94)</f>
        <v>-5000000</v>
      </c>
      <c r="R97" s="20">
        <f>SUM($D$94:R94)</f>
        <v>-5000000</v>
      </c>
    </row>
    <row r="98" spans="1:18">
      <c r="A98" s="60"/>
      <c r="B98" s="61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</row>
    <row r="99" spans="1:18">
      <c r="A99" s="135" t="s">
        <v>298</v>
      </c>
      <c r="B99" s="3"/>
      <c r="C99" s="3"/>
      <c r="D99" s="39" t="s">
        <v>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s="45" customFormat="1" ht="22.5">
      <c r="A100" s="42" t="s">
        <v>30</v>
      </c>
      <c r="B100" s="43" t="s">
        <v>0</v>
      </c>
      <c r="C100" s="44" t="s">
        <v>46</v>
      </c>
      <c r="D100" s="48">
        <v>2025</v>
      </c>
      <c r="E100" s="42">
        <f>D100+1</f>
        <v>2026</v>
      </c>
      <c r="F100" s="42">
        <f t="shared" ref="F100:R100" si="22">E100+1</f>
        <v>2027</v>
      </c>
      <c r="G100" s="42">
        <f t="shared" si="22"/>
        <v>2028</v>
      </c>
      <c r="H100" s="42">
        <f t="shared" si="22"/>
        <v>2029</v>
      </c>
      <c r="I100" s="42">
        <f t="shared" si="22"/>
        <v>2030</v>
      </c>
      <c r="J100" s="42">
        <f t="shared" si="22"/>
        <v>2031</v>
      </c>
      <c r="K100" s="42">
        <f t="shared" si="22"/>
        <v>2032</v>
      </c>
      <c r="L100" s="42">
        <f t="shared" si="22"/>
        <v>2033</v>
      </c>
      <c r="M100" s="42">
        <f t="shared" si="22"/>
        <v>2034</v>
      </c>
      <c r="N100" s="42">
        <f t="shared" si="22"/>
        <v>2035</v>
      </c>
      <c r="O100" s="42">
        <f t="shared" si="22"/>
        <v>2036</v>
      </c>
      <c r="P100" s="42">
        <f t="shared" si="22"/>
        <v>2037</v>
      </c>
      <c r="Q100" s="42">
        <f t="shared" si="22"/>
        <v>2038</v>
      </c>
      <c r="R100" s="42">
        <f t="shared" si="22"/>
        <v>2039</v>
      </c>
    </row>
    <row r="101" spans="1:18">
      <c r="A101" s="49">
        <v>2025</v>
      </c>
      <c r="B101" s="23">
        <v>1950000</v>
      </c>
      <c r="C101" s="46">
        <f t="shared" ref="C101:C115" si="23">B101/$D4</f>
        <v>0.19500000000000001</v>
      </c>
      <c r="D101" s="17">
        <f>VLOOKUP(D$100,'Aggregated Median CA data'!$D$126:$M$140,5,0)*$B101</f>
        <v>309899.42405474471</v>
      </c>
      <c r="E101" s="17">
        <f>VLOOKUP(E$100,'Aggregated Median CA data'!$D$126:$M$140,5,0)*$B101</f>
        <v>688865.27066681103</v>
      </c>
      <c r="F101" s="17">
        <f>VLOOKUP(F$100,'Aggregated Median CA data'!$D$126:$M$140,5,0)*$B101</f>
        <v>1120446.5171965566</v>
      </c>
      <c r="G101" s="17">
        <f>VLOOKUP(G$100,'Aggregated Median CA data'!$D$126:$M$140,5,0)*$B101</f>
        <v>1464458.047257113</v>
      </c>
      <c r="H101" s="17">
        <f>VLOOKUP(H$100,'Aggregated Median CA data'!$D$126:$M$140,5,0)*$B101</f>
        <v>1642048.9516059563</v>
      </c>
      <c r="I101" s="17">
        <f>VLOOKUP(I$100,'Aggregated Median CA data'!$D$126:$M$140,5,0)*$B101</f>
        <v>1571243.1936742717</v>
      </c>
      <c r="J101" s="17">
        <f>VLOOKUP(J$100,'Aggregated Median CA data'!$D$126:$M$140,5,0)*$B101</f>
        <v>1430946.0603184244</v>
      </c>
      <c r="K101" s="17">
        <f>VLOOKUP(K$100,'Aggregated Median CA data'!$D$126:$M$140,5,0)*$B101</f>
        <v>1213004.648945549</v>
      </c>
      <c r="L101" s="17">
        <f>VLOOKUP(L$100,'Aggregated Median CA data'!$D$126:$M$140,5,0)*$B101</f>
        <v>961138.3996592951</v>
      </c>
      <c r="M101" s="17">
        <f>VLOOKUP(M$100,'Aggregated Median CA data'!$D$126:$M$140,5,0)*$B101</f>
        <v>782135.17163304053</v>
      </c>
      <c r="N101" s="17">
        <f>VLOOKUP(N$100,'Aggregated Median CA data'!$D$126:$M$140,5,0)*$B101</f>
        <v>587231.39883120684</v>
      </c>
      <c r="O101" s="17">
        <f>VLOOKUP(O$100,'Aggregated Median CA data'!$D$126:$M$140,5,0)*$B101</f>
        <v>451028.08745536057</v>
      </c>
      <c r="P101" s="17">
        <f>VLOOKUP(P$100,'Aggregated Median CA data'!$D$126:$M$140,5,0)*$B101</f>
        <v>349355.80921523779</v>
      </c>
      <c r="Q101" s="17">
        <f>VLOOKUP(Q$100,'Aggregated Median CA data'!$D$126:$M$140,5,0)*$B101</f>
        <v>301535.59870522871</v>
      </c>
      <c r="R101" s="17">
        <f>VLOOKUP(R$100,'Aggregated Median CA data'!$D$126:$M$140,5,0)*$B101</f>
        <v>274819.3392752246</v>
      </c>
    </row>
    <row r="102" spans="1:18">
      <c r="A102" s="18">
        <f>A101+1</f>
        <v>2026</v>
      </c>
      <c r="B102" s="23">
        <v>1950000</v>
      </c>
      <c r="C102" s="46">
        <f t="shared" si="23"/>
        <v>0.18378887841658811</v>
      </c>
      <c r="E102" s="17">
        <f t="shared" ref="E102:R110" si="24">IF($B102=0,0,(D101/$B101)*$B102)</f>
        <v>309899.42405474471</v>
      </c>
      <c r="F102" s="17">
        <f t="shared" si="24"/>
        <v>688865.27066681103</v>
      </c>
      <c r="G102" s="17">
        <f t="shared" si="24"/>
        <v>1120446.5171965566</v>
      </c>
      <c r="H102" s="17">
        <f t="shared" si="24"/>
        <v>1464458.047257113</v>
      </c>
      <c r="I102" s="17">
        <f t="shared" si="24"/>
        <v>1642048.9516059563</v>
      </c>
      <c r="J102" s="17">
        <f t="shared" si="24"/>
        <v>1571243.1936742717</v>
      </c>
      <c r="K102" s="17">
        <f t="shared" si="24"/>
        <v>1430946.0603184244</v>
      </c>
      <c r="L102" s="17">
        <f t="shared" si="24"/>
        <v>1213004.648945549</v>
      </c>
      <c r="M102" s="17">
        <f t="shared" si="24"/>
        <v>961138.3996592951</v>
      </c>
      <c r="N102" s="17">
        <f t="shared" si="24"/>
        <v>782135.17163304053</v>
      </c>
      <c r="O102" s="17">
        <f t="shared" si="24"/>
        <v>587231.39883120684</v>
      </c>
      <c r="P102" s="17">
        <f t="shared" si="24"/>
        <v>451028.08745536057</v>
      </c>
      <c r="Q102" s="17">
        <f t="shared" si="24"/>
        <v>349355.80921523779</v>
      </c>
      <c r="R102" s="17">
        <f t="shared" si="24"/>
        <v>301535.59870522871</v>
      </c>
    </row>
    <row r="103" spans="1:18">
      <c r="A103" s="18">
        <f t="shared" ref="A103:A115" si="25">A102+1</f>
        <v>2027</v>
      </c>
      <c r="B103" s="23">
        <v>1950000</v>
      </c>
      <c r="C103" s="46">
        <f t="shared" si="23"/>
        <v>0.17322231707501237</v>
      </c>
      <c r="F103" s="17">
        <f t="shared" si="24"/>
        <v>309899.42405474471</v>
      </c>
      <c r="G103" s="17">
        <f t="shared" si="24"/>
        <v>688865.27066681103</v>
      </c>
      <c r="H103" s="17">
        <f t="shared" si="24"/>
        <v>1120446.5171965566</v>
      </c>
      <c r="I103" s="17">
        <f t="shared" si="24"/>
        <v>1464458.047257113</v>
      </c>
      <c r="J103" s="17">
        <f t="shared" si="24"/>
        <v>1642048.9516059563</v>
      </c>
      <c r="K103" s="17">
        <f t="shared" si="24"/>
        <v>1571243.1936742717</v>
      </c>
      <c r="L103" s="17">
        <f t="shared" si="24"/>
        <v>1430946.0603184244</v>
      </c>
      <c r="M103" s="17">
        <f t="shared" si="24"/>
        <v>1213004.648945549</v>
      </c>
      <c r="N103" s="17">
        <f t="shared" si="24"/>
        <v>961138.3996592951</v>
      </c>
      <c r="O103" s="17">
        <f t="shared" si="24"/>
        <v>782135.17163304053</v>
      </c>
      <c r="P103" s="17">
        <f t="shared" si="24"/>
        <v>587231.39883120684</v>
      </c>
      <c r="Q103" s="17">
        <f t="shared" si="24"/>
        <v>451028.08745536057</v>
      </c>
      <c r="R103" s="17">
        <f t="shared" si="24"/>
        <v>349355.80921523779</v>
      </c>
    </row>
    <row r="104" spans="1:18">
      <c r="A104" s="18">
        <f t="shared" si="25"/>
        <v>2028</v>
      </c>
      <c r="B104" s="23">
        <v>1950000</v>
      </c>
      <c r="C104" s="46">
        <f t="shared" si="23"/>
        <v>0.16326325831763655</v>
      </c>
      <c r="G104" s="17">
        <f t="shared" si="24"/>
        <v>309899.42405474471</v>
      </c>
      <c r="H104" s="17">
        <f t="shared" si="24"/>
        <v>688865.27066681103</v>
      </c>
      <c r="I104" s="17">
        <f t="shared" si="24"/>
        <v>1120446.5171965566</v>
      </c>
      <c r="J104" s="17">
        <f t="shared" si="24"/>
        <v>1464458.047257113</v>
      </c>
      <c r="K104" s="17">
        <f t="shared" si="24"/>
        <v>1642048.9516059563</v>
      </c>
      <c r="L104" s="17">
        <f t="shared" si="24"/>
        <v>1571243.1936742717</v>
      </c>
      <c r="M104" s="17">
        <f t="shared" si="24"/>
        <v>1430946.0603184244</v>
      </c>
      <c r="N104" s="17">
        <f t="shared" si="24"/>
        <v>1213004.648945549</v>
      </c>
      <c r="O104" s="17">
        <f t="shared" si="24"/>
        <v>961138.3996592951</v>
      </c>
      <c r="P104" s="17">
        <f t="shared" si="24"/>
        <v>782135.17163304053</v>
      </c>
      <c r="Q104" s="17">
        <f t="shared" si="24"/>
        <v>587231.39883120684</v>
      </c>
      <c r="R104" s="17">
        <f t="shared" si="24"/>
        <v>451028.08745536057</v>
      </c>
    </row>
    <row r="105" spans="1:18">
      <c r="A105" s="18">
        <f t="shared" si="25"/>
        <v>2029</v>
      </c>
      <c r="B105" s="23">
        <v>1950000</v>
      </c>
      <c r="C105" s="46">
        <f t="shared" si="23"/>
        <v>0.15387677504018527</v>
      </c>
      <c r="H105" s="17">
        <f t="shared" si="24"/>
        <v>309899.42405474471</v>
      </c>
      <c r="I105" s="17">
        <f t="shared" si="24"/>
        <v>688865.27066681103</v>
      </c>
      <c r="J105" s="17">
        <f t="shared" si="24"/>
        <v>1120446.5171965566</v>
      </c>
      <c r="K105" s="17">
        <f t="shared" si="24"/>
        <v>1464458.047257113</v>
      </c>
      <c r="L105" s="17">
        <f t="shared" si="24"/>
        <v>1642048.9516059563</v>
      </c>
      <c r="M105" s="17">
        <f t="shared" si="24"/>
        <v>1571243.1936742717</v>
      </c>
      <c r="N105" s="17">
        <f t="shared" si="24"/>
        <v>1430946.0603184244</v>
      </c>
      <c r="O105" s="17">
        <f t="shared" si="24"/>
        <v>1213004.648945549</v>
      </c>
      <c r="P105" s="17">
        <f t="shared" si="24"/>
        <v>961138.3996592951</v>
      </c>
      <c r="Q105" s="17">
        <f t="shared" si="24"/>
        <v>782135.17163304053</v>
      </c>
      <c r="R105" s="17">
        <f t="shared" si="24"/>
        <v>587231.39883120684</v>
      </c>
    </row>
    <row r="106" spans="1:18">
      <c r="A106" s="18">
        <f t="shared" si="25"/>
        <v>2030</v>
      </c>
      <c r="B106" s="23">
        <v>1950000</v>
      </c>
      <c r="C106" s="46">
        <f t="shared" si="23"/>
        <v>0.1450299481999861</v>
      </c>
      <c r="I106" s="17">
        <f t="shared" si="24"/>
        <v>309899.42405474471</v>
      </c>
      <c r="J106" s="17">
        <f t="shared" si="24"/>
        <v>688865.27066681103</v>
      </c>
      <c r="K106" s="17">
        <f t="shared" si="24"/>
        <v>1120446.5171965566</v>
      </c>
      <c r="L106" s="17">
        <f t="shared" si="24"/>
        <v>1464458.047257113</v>
      </c>
      <c r="M106" s="17">
        <f t="shared" si="24"/>
        <v>1642048.9516059563</v>
      </c>
      <c r="N106" s="17">
        <f t="shared" si="24"/>
        <v>1571243.1936742717</v>
      </c>
      <c r="O106" s="17">
        <f t="shared" si="24"/>
        <v>1430946.0603184244</v>
      </c>
      <c r="P106" s="17">
        <f t="shared" si="24"/>
        <v>1213004.648945549</v>
      </c>
      <c r="Q106" s="17">
        <f t="shared" si="24"/>
        <v>961138.3996592951</v>
      </c>
      <c r="R106" s="17">
        <f t="shared" si="24"/>
        <v>782135.17163304053</v>
      </c>
    </row>
    <row r="107" spans="1:18">
      <c r="A107" s="18">
        <f t="shared" si="25"/>
        <v>2031</v>
      </c>
      <c r="B107" s="23">
        <v>1950000</v>
      </c>
      <c r="C107" s="46">
        <f t="shared" si="23"/>
        <v>0.13669175136662215</v>
      </c>
      <c r="J107" s="17">
        <f t="shared" si="24"/>
        <v>309899.42405474471</v>
      </c>
      <c r="K107" s="17">
        <f t="shared" si="24"/>
        <v>688865.27066681103</v>
      </c>
      <c r="L107" s="17">
        <f t="shared" si="24"/>
        <v>1120446.5171965566</v>
      </c>
      <c r="M107" s="17">
        <f t="shared" si="24"/>
        <v>1464458.047257113</v>
      </c>
      <c r="N107" s="17">
        <f t="shared" si="24"/>
        <v>1642048.9516059563</v>
      </c>
      <c r="O107" s="17">
        <f t="shared" si="24"/>
        <v>1571243.1936742717</v>
      </c>
      <c r="P107" s="17">
        <f t="shared" si="24"/>
        <v>1430946.0603184244</v>
      </c>
      <c r="Q107" s="17">
        <f t="shared" si="24"/>
        <v>1213004.648945549</v>
      </c>
      <c r="R107" s="17">
        <f t="shared" si="24"/>
        <v>961138.3996592951</v>
      </c>
    </row>
    <row r="108" spans="1:18">
      <c r="A108" s="18">
        <f t="shared" si="25"/>
        <v>2032</v>
      </c>
      <c r="B108" s="23">
        <v>1950000</v>
      </c>
      <c r="C108" s="46">
        <f t="shared" si="23"/>
        <v>0.12883294191010572</v>
      </c>
      <c r="K108" s="17">
        <f t="shared" si="24"/>
        <v>309899.42405474471</v>
      </c>
      <c r="L108" s="17">
        <f t="shared" si="24"/>
        <v>688865.27066681103</v>
      </c>
      <c r="M108" s="17">
        <f t="shared" si="24"/>
        <v>1120446.5171965566</v>
      </c>
      <c r="N108" s="17">
        <f t="shared" si="24"/>
        <v>1464458.047257113</v>
      </c>
      <c r="O108" s="17">
        <f t="shared" si="24"/>
        <v>1642048.9516059563</v>
      </c>
      <c r="P108" s="17">
        <f t="shared" si="24"/>
        <v>1571243.1936742717</v>
      </c>
      <c r="Q108" s="17">
        <f t="shared" si="24"/>
        <v>1430946.0603184244</v>
      </c>
      <c r="R108" s="17">
        <f t="shared" si="24"/>
        <v>1213004.648945549</v>
      </c>
    </row>
    <row r="109" spans="1:18">
      <c r="A109" s="18">
        <f t="shared" si="25"/>
        <v>2033</v>
      </c>
      <c r="B109" s="23">
        <v>1950000</v>
      </c>
      <c r="C109" s="46">
        <f t="shared" si="23"/>
        <v>0.121425958444963</v>
      </c>
      <c r="L109" s="17">
        <f t="shared" si="24"/>
        <v>309899.42405474471</v>
      </c>
      <c r="M109" s="17">
        <f t="shared" si="24"/>
        <v>688865.27066681103</v>
      </c>
      <c r="N109" s="17">
        <f t="shared" si="24"/>
        <v>1120446.5171965566</v>
      </c>
      <c r="O109" s="17">
        <f t="shared" si="24"/>
        <v>1464458.047257113</v>
      </c>
      <c r="P109" s="17">
        <f t="shared" si="24"/>
        <v>1642048.9516059563</v>
      </c>
      <c r="Q109" s="17">
        <f t="shared" si="24"/>
        <v>1571243.1936742717</v>
      </c>
      <c r="R109" s="17">
        <f t="shared" si="24"/>
        <v>1430946.0603184244</v>
      </c>
    </row>
    <row r="110" spans="1:18">
      <c r="A110" s="18">
        <f t="shared" si="25"/>
        <v>2034</v>
      </c>
      <c r="B110" s="23">
        <v>1950000</v>
      </c>
      <c r="C110" s="46">
        <f t="shared" si="23"/>
        <v>0.1144448241705589</v>
      </c>
      <c r="M110" s="17">
        <f>IF($B110=0,0,(L109/$B109)*$B110)</f>
        <v>309899.42405474471</v>
      </c>
      <c r="N110" s="17">
        <f t="shared" si="24"/>
        <v>688865.27066681103</v>
      </c>
      <c r="O110" s="17">
        <f t="shared" si="24"/>
        <v>1120446.5171965566</v>
      </c>
      <c r="P110" s="17">
        <f t="shared" si="24"/>
        <v>1464458.047257113</v>
      </c>
      <c r="Q110" s="17">
        <f t="shared" si="24"/>
        <v>1642048.9516059563</v>
      </c>
      <c r="R110" s="17">
        <f t="shared" si="24"/>
        <v>1571243.1936742717</v>
      </c>
    </row>
    <row r="111" spans="1:18">
      <c r="A111" s="18">
        <f t="shared" si="25"/>
        <v>2035</v>
      </c>
      <c r="B111" s="23">
        <v>1950000</v>
      </c>
      <c r="C111" s="46">
        <f t="shared" si="23"/>
        <v>0.10786505576867003</v>
      </c>
      <c r="N111" s="17">
        <f>IF($B111=0,0,(M110/$B110)*$B111)</f>
        <v>309899.42405474471</v>
      </c>
      <c r="O111" s="17">
        <f>IF($B111=0,0,(N110/$B110)*$B111)</f>
        <v>688865.27066681103</v>
      </c>
      <c r="P111" s="17">
        <f>IF($B111=0,0,(O110/$B110)*$B111)</f>
        <v>1120446.5171965566</v>
      </c>
      <c r="Q111" s="17">
        <f>IF($B111=0,0,(P110/$B110)*$B111)</f>
        <v>1464458.047257113</v>
      </c>
      <c r="R111" s="17">
        <f>IF($B111=0,0,(Q110/$B110)*$B111)</f>
        <v>1642048.9516059563</v>
      </c>
    </row>
    <row r="112" spans="1:18">
      <c r="A112" s="18">
        <f t="shared" si="25"/>
        <v>2036</v>
      </c>
      <c r="B112" s="23">
        <v>1950000</v>
      </c>
      <c r="C112" s="46">
        <f t="shared" si="23"/>
        <v>0.10166357753880306</v>
      </c>
      <c r="O112" s="17">
        <f>IF($B112=0,0,(N111/$B111)*$B112)</f>
        <v>309899.42405474471</v>
      </c>
      <c r="P112" s="17">
        <f>IF($B112=0,0,(O111/$B111)*$B112)</f>
        <v>688865.27066681103</v>
      </c>
      <c r="Q112" s="17">
        <f>IF($B112=0,0,(P111/$B111)*$B112)</f>
        <v>1120446.5171965566</v>
      </c>
      <c r="R112" s="17">
        <f>IF($B112=0,0,(Q111/$B111)*$B112)</f>
        <v>1464458.047257113</v>
      </c>
    </row>
    <row r="113" spans="1:18">
      <c r="A113" s="18">
        <f t="shared" si="25"/>
        <v>2037</v>
      </c>
      <c r="B113" s="23">
        <v>1950000</v>
      </c>
      <c r="C113" s="46">
        <f t="shared" si="23"/>
        <v>9.5818640470125421E-2</v>
      </c>
      <c r="P113" s="17">
        <f>IF($B113=0,0,(O112/$B112)*$B113)</f>
        <v>309899.42405474471</v>
      </c>
      <c r="Q113" s="17">
        <f>IF($B113=0,0,(P112/$B112)*$B113)</f>
        <v>688865.27066681103</v>
      </c>
      <c r="R113" s="17">
        <f>IF($B113=0,0,(Q112/$B112)*$B113)</f>
        <v>1120446.5171965566</v>
      </c>
    </row>
    <row r="114" spans="1:18">
      <c r="A114" s="18">
        <f t="shared" si="25"/>
        <v>2038</v>
      </c>
      <c r="B114" s="23">
        <v>1950000</v>
      </c>
      <c r="C114" s="46">
        <f t="shared" si="23"/>
        <v>9.030974596618796E-2</v>
      </c>
      <c r="Q114" s="17">
        <f>IF($B114=0,0,(P113/$B113)*$B114)</f>
        <v>309899.42405474471</v>
      </c>
      <c r="R114" s="17">
        <f>IF($B114=0,0,(Q113/$B113)*$B114)</f>
        <v>688865.27066681103</v>
      </c>
    </row>
    <row r="115" spans="1:18">
      <c r="A115" s="18">
        <f t="shared" si="25"/>
        <v>2039</v>
      </c>
      <c r="B115" s="23">
        <v>1950000</v>
      </c>
      <c r="C115" s="46">
        <f t="shared" si="23"/>
        <v>8.5117573954936812E-2</v>
      </c>
      <c r="R115" s="17">
        <f>IF($B115=0,0,(Q114/$B114)*$B115)</f>
        <v>309899.42405474471</v>
      </c>
    </row>
    <row r="116" spans="1:18">
      <c r="R116" s="17"/>
    </row>
    <row r="117" spans="1:18">
      <c r="A117" s="21" t="s">
        <v>33</v>
      </c>
      <c r="C117" s="20"/>
      <c r="D117" s="20">
        <f>SUM(D101:D115)</f>
        <v>309899.42405474471</v>
      </c>
      <c r="E117" s="20">
        <f t="shared" ref="E117:R117" si="26">SUM(E101:E115)</f>
        <v>998764.6947215558</v>
      </c>
      <c r="F117" s="20">
        <f t="shared" si="26"/>
        <v>2119211.2119181124</v>
      </c>
      <c r="G117" s="20">
        <f t="shared" si="26"/>
        <v>3583669.2591752256</v>
      </c>
      <c r="H117" s="20">
        <f t="shared" si="26"/>
        <v>5225718.2107811812</v>
      </c>
      <c r="I117" s="20">
        <f t="shared" si="26"/>
        <v>6796961.4044554532</v>
      </c>
      <c r="J117" s="20">
        <f t="shared" si="26"/>
        <v>8227907.4647738775</v>
      </c>
      <c r="K117" s="20">
        <f t="shared" si="26"/>
        <v>9440912.113719428</v>
      </c>
      <c r="L117" s="20">
        <f t="shared" si="26"/>
        <v>10402050.513378724</v>
      </c>
      <c r="M117" s="20">
        <f t="shared" si="26"/>
        <v>11184185.685011763</v>
      </c>
      <c r="N117" s="20">
        <f t="shared" si="26"/>
        <v>11771417.08384297</v>
      </c>
      <c r="O117" s="20">
        <f t="shared" si="26"/>
        <v>12222445.171298331</v>
      </c>
      <c r="P117" s="20">
        <f t="shared" si="26"/>
        <v>12571800.980513569</v>
      </c>
      <c r="Q117" s="20">
        <f t="shared" si="26"/>
        <v>12873336.579218797</v>
      </c>
      <c r="R117" s="20">
        <f t="shared" si="26"/>
        <v>13148155.918494022</v>
      </c>
    </row>
    <row r="118" spans="1:18">
      <c r="R118" s="17"/>
    </row>
    <row r="119" spans="1:18">
      <c r="A119" s="21" t="s">
        <v>306</v>
      </c>
      <c r="C119" s="20"/>
      <c r="D119" s="20">
        <f>SUM(D117,D78,D54,D30)</f>
        <v>10769828.03086729</v>
      </c>
      <c r="E119" s="20">
        <f t="shared" ref="E119:R119" si="27">SUM(E117,E78,E54,E30)</f>
        <v>11549271.818988772</v>
      </c>
      <c r="F119" s="20">
        <f t="shared" si="27"/>
        <v>12379224.025528787</v>
      </c>
      <c r="G119" s="20">
        <f t="shared" si="27"/>
        <v>13337743.215899374</v>
      </c>
      <c r="H119" s="20">
        <f t="shared" si="27"/>
        <v>14561287.41533624</v>
      </c>
      <c r="I119" s="20">
        <f t="shared" si="27"/>
        <v>15961038.084939908</v>
      </c>
      <c r="J119" s="20">
        <f t="shared" si="27"/>
        <v>17690019.609428812</v>
      </c>
      <c r="K119" s="20">
        <f t="shared" si="27"/>
        <v>19714029.982157324</v>
      </c>
      <c r="L119" s="20">
        <f t="shared" si="27"/>
        <v>21965633.914374109</v>
      </c>
      <c r="M119" s="20">
        <f t="shared" si="27"/>
        <v>24449803.324043985</v>
      </c>
      <c r="N119" s="20">
        <f t="shared" si="27"/>
        <v>27195134.028489046</v>
      </c>
      <c r="O119" s="20">
        <f t="shared" si="27"/>
        <v>30151543.779312272</v>
      </c>
      <c r="P119" s="20">
        <f t="shared" si="27"/>
        <v>33342489.178394116</v>
      </c>
      <c r="Q119" s="20">
        <f t="shared" si="27"/>
        <v>36786251.523375116</v>
      </c>
      <c r="R119" s="20">
        <f t="shared" si="27"/>
        <v>40521686.990084648</v>
      </c>
    </row>
    <row r="120" spans="1:18">
      <c r="R120" s="17"/>
    </row>
    <row r="121" spans="1:18">
      <c r="A121" s="33" t="s">
        <v>34</v>
      </c>
      <c r="B121" s="32"/>
      <c r="C121" s="24"/>
      <c r="D121" s="24">
        <f>$D$4</f>
        <v>10000000</v>
      </c>
      <c r="E121" s="24">
        <f>$D$5</f>
        <v>10610000</v>
      </c>
      <c r="F121" s="24">
        <f>$D$6</f>
        <v>11257210</v>
      </c>
      <c r="G121" s="24">
        <f>$D$7</f>
        <v>11943899.809999999</v>
      </c>
      <c r="H121" s="24">
        <f>$D$8</f>
        <v>12672477.698409999</v>
      </c>
      <c r="I121" s="24">
        <f>$D$9</f>
        <v>13445498.838013008</v>
      </c>
      <c r="J121" s="24">
        <f>$D$10</f>
        <v>14265674.267131802</v>
      </c>
      <c r="K121" s="24">
        <f>$D$11</f>
        <v>15135880.39742684</v>
      </c>
      <c r="L121" s="24">
        <f>$D$12</f>
        <v>16059169.101669876</v>
      </c>
      <c r="M121" s="24">
        <f>$D$13</f>
        <v>17038778.416871738</v>
      </c>
      <c r="N121" s="24">
        <f>$D$14</f>
        <v>18078143.900300913</v>
      </c>
      <c r="O121" s="24">
        <f>$D$15</f>
        <v>19180910.678219266</v>
      </c>
      <c r="P121" s="24">
        <f>$D$16</f>
        <v>20350946.229590639</v>
      </c>
      <c r="Q121" s="24">
        <f>$D$17</f>
        <v>21592353.949595667</v>
      </c>
      <c r="R121" s="24">
        <f>$D$18</f>
        <v>22909487.540521003</v>
      </c>
    </row>
    <row r="122" spans="1:18">
      <c r="A122" s="37" t="s">
        <v>35</v>
      </c>
      <c r="B122" s="32"/>
      <c r="C122" s="34"/>
      <c r="D122" s="34">
        <f>D119/D121</f>
        <v>1.076982803086729</v>
      </c>
      <c r="E122" s="34">
        <f t="shared" ref="E122:R122" si="28">E119/E121</f>
        <v>1.0885270328924386</v>
      </c>
      <c r="F122" s="34">
        <f t="shared" si="28"/>
        <v>1.0996707022014147</v>
      </c>
      <c r="G122" s="34">
        <f t="shared" si="28"/>
        <v>1.1166991877085559</v>
      </c>
      <c r="H122" s="34">
        <f t="shared" si="28"/>
        <v>1.1490481784129103</v>
      </c>
      <c r="I122" s="34">
        <f t="shared" si="28"/>
        <v>1.1870915521419694</v>
      </c>
      <c r="J122" s="34">
        <f t="shared" si="28"/>
        <v>1.2400409036526736</v>
      </c>
      <c r="K122" s="34">
        <f t="shared" si="28"/>
        <v>1.3024699894899268</v>
      </c>
      <c r="L122" s="34">
        <f t="shared" si="28"/>
        <v>1.3677939235405439</v>
      </c>
      <c r="M122" s="34">
        <f t="shared" si="28"/>
        <v>1.4349504832948516</v>
      </c>
      <c r="N122" s="34">
        <f t="shared" si="28"/>
        <v>1.5043100762150909</v>
      </c>
      <c r="O122" s="34">
        <f t="shared" si="28"/>
        <v>1.571955799447553</v>
      </c>
      <c r="P122" s="34">
        <f t="shared" si="28"/>
        <v>1.6383753758787658</v>
      </c>
      <c r="Q122" s="34">
        <f t="shared" si="28"/>
        <v>1.7036702718586163</v>
      </c>
      <c r="R122" s="34">
        <f t="shared" si="28"/>
        <v>1.7687731739268364</v>
      </c>
    </row>
    <row r="123" spans="1:18">
      <c r="C123" s="65" t="s">
        <v>47</v>
      </c>
      <c r="D123" s="66">
        <f>D121/1000000</f>
        <v>10</v>
      </c>
      <c r="E123" s="67">
        <f t="shared" ref="E123:R123" si="29">E121/1000000</f>
        <v>10.61</v>
      </c>
      <c r="F123" s="67">
        <f t="shared" si="29"/>
        <v>11.257210000000001</v>
      </c>
      <c r="G123" s="67">
        <f t="shared" si="29"/>
        <v>11.943899809999998</v>
      </c>
      <c r="H123" s="67">
        <f t="shared" si="29"/>
        <v>12.672477698409999</v>
      </c>
      <c r="I123" s="67">
        <f t="shared" si="29"/>
        <v>13.445498838013009</v>
      </c>
      <c r="J123" s="67">
        <f t="shared" si="29"/>
        <v>14.265674267131802</v>
      </c>
      <c r="K123" s="67">
        <f t="shared" si="29"/>
        <v>15.13588039742684</v>
      </c>
      <c r="L123" s="67">
        <f t="shared" si="29"/>
        <v>16.059169101669877</v>
      </c>
      <c r="M123" s="67">
        <f t="shared" si="29"/>
        <v>17.038778416871736</v>
      </c>
      <c r="N123" s="67">
        <f t="shared" si="29"/>
        <v>18.078143900300912</v>
      </c>
      <c r="O123" s="67">
        <f t="shared" si="29"/>
        <v>19.180910678219266</v>
      </c>
      <c r="P123" s="67">
        <f t="shared" si="29"/>
        <v>20.35094622959064</v>
      </c>
      <c r="Q123" s="67">
        <f t="shared" si="29"/>
        <v>21.592353949595669</v>
      </c>
      <c r="R123" s="67">
        <f t="shared" si="29"/>
        <v>22.909487540521003</v>
      </c>
    </row>
    <row r="124" spans="1:18">
      <c r="C124" s="65" t="s">
        <v>48</v>
      </c>
      <c r="D124" s="66">
        <f>$B$101/1000000</f>
        <v>1.95</v>
      </c>
      <c r="E124" s="67">
        <f>$B$102/1000000</f>
        <v>1.95</v>
      </c>
      <c r="F124" s="67">
        <f>$B$103/1000000</f>
        <v>1.95</v>
      </c>
      <c r="G124" s="67">
        <f>$B$104/1000000</f>
        <v>1.95</v>
      </c>
      <c r="H124" s="67">
        <f>$B$105/1000000</f>
        <v>1.95</v>
      </c>
      <c r="I124" s="68">
        <f>$B$106/1000000</f>
        <v>1.95</v>
      </c>
      <c r="J124" s="68">
        <f>$B$107/1000000</f>
        <v>1.95</v>
      </c>
      <c r="K124" s="68">
        <f>$B$108/1000000</f>
        <v>1.95</v>
      </c>
      <c r="L124" s="68">
        <f>$B$109/1000000</f>
        <v>1.95</v>
      </c>
      <c r="M124" s="68">
        <f>$B$110/1000000</f>
        <v>1.95</v>
      </c>
      <c r="N124" s="67">
        <f>$B$111/1000000</f>
        <v>1.95</v>
      </c>
      <c r="O124" s="67">
        <f>$B$112/1000000</f>
        <v>1.95</v>
      </c>
      <c r="P124" s="67">
        <f>$B$113/1000000</f>
        <v>1.95</v>
      </c>
      <c r="Q124" s="67">
        <f>$B$114/1000000</f>
        <v>1.95</v>
      </c>
      <c r="R124" s="67">
        <f>$B$115/1000000</f>
        <v>1.95</v>
      </c>
    </row>
    <row r="125" spans="1:18">
      <c r="C125" s="65" t="s">
        <v>63</v>
      </c>
      <c r="D125" s="66">
        <f>D119/1000000</f>
        <v>10.76982803086729</v>
      </c>
      <c r="E125" s="66">
        <f t="shared" ref="E125:R125" si="30">E119/1000000</f>
        <v>11.549271818988773</v>
      </c>
      <c r="F125" s="66">
        <f t="shared" si="30"/>
        <v>12.379224025528787</v>
      </c>
      <c r="G125" s="66">
        <f t="shared" si="30"/>
        <v>13.337743215899375</v>
      </c>
      <c r="H125" s="66">
        <f t="shared" si="30"/>
        <v>14.56128741533624</v>
      </c>
      <c r="I125" s="66">
        <f t="shared" si="30"/>
        <v>15.961038084939908</v>
      </c>
      <c r="J125" s="66">
        <f t="shared" si="30"/>
        <v>17.690019609428813</v>
      </c>
      <c r="K125" s="66">
        <f t="shared" si="30"/>
        <v>19.714029982157324</v>
      </c>
      <c r="L125" s="66">
        <f t="shared" si="30"/>
        <v>21.965633914374109</v>
      </c>
      <c r="M125" s="66">
        <f t="shared" si="30"/>
        <v>24.449803324043984</v>
      </c>
      <c r="N125" s="66">
        <f t="shared" si="30"/>
        <v>27.195134028489047</v>
      </c>
      <c r="O125" s="66">
        <f t="shared" si="30"/>
        <v>30.15154377931227</v>
      </c>
      <c r="P125" s="66">
        <f t="shared" si="30"/>
        <v>33.342489178394118</v>
      </c>
      <c r="Q125" s="66">
        <f t="shared" si="30"/>
        <v>36.786251523375114</v>
      </c>
      <c r="R125" s="66">
        <f t="shared" si="30"/>
        <v>40.521686990084646</v>
      </c>
    </row>
    <row r="126" spans="1:18">
      <c r="C126" s="39"/>
      <c r="D126" s="39" t="s">
        <v>38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15" t="s">
        <v>30</v>
      </c>
      <c r="B127" s="16" t="s">
        <v>0</v>
      </c>
      <c r="C127" s="15"/>
      <c r="D127" s="15">
        <f t="shared" ref="D127:R127" si="31">D$100</f>
        <v>2025</v>
      </c>
      <c r="E127" s="15">
        <f t="shared" si="31"/>
        <v>2026</v>
      </c>
      <c r="F127" s="15">
        <f t="shared" si="31"/>
        <v>2027</v>
      </c>
      <c r="G127" s="15">
        <f t="shared" si="31"/>
        <v>2028</v>
      </c>
      <c r="H127" s="15">
        <f t="shared" si="31"/>
        <v>2029</v>
      </c>
      <c r="I127" s="15">
        <f t="shared" si="31"/>
        <v>2030</v>
      </c>
      <c r="J127" s="15">
        <f t="shared" si="31"/>
        <v>2031</v>
      </c>
      <c r="K127" s="15">
        <f t="shared" si="31"/>
        <v>2032</v>
      </c>
      <c r="L127" s="15">
        <f t="shared" si="31"/>
        <v>2033</v>
      </c>
      <c r="M127" s="15">
        <f t="shared" si="31"/>
        <v>2034</v>
      </c>
      <c r="N127" s="15">
        <f t="shared" si="31"/>
        <v>2035</v>
      </c>
      <c r="O127" s="15">
        <f t="shared" si="31"/>
        <v>2036</v>
      </c>
      <c r="P127" s="15">
        <f t="shared" si="31"/>
        <v>2037</v>
      </c>
      <c r="Q127" s="15">
        <f t="shared" si="31"/>
        <v>2038</v>
      </c>
      <c r="R127" s="15">
        <f t="shared" si="31"/>
        <v>2039</v>
      </c>
    </row>
    <row r="128" spans="1:18">
      <c r="A128" s="18">
        <f>A101</f>
        <v>2025</v>
      </c>
      <c r="B128" s="24">
        <f t="shared" ref="B128:B142" si="32">B101</f>
        <v>1950000</v>
      </c>
      <c r="D128" s="17">
        <f>VLOOKUP(D$100,'Aggregated Median CA data'!$D$126:$M$140,7,0)*$B128</f>
        <v>-336048.03101631312</v>
      </c>
      <c r="E128" s="17">
        <f>VLOOKUP(E$100,'Aggregated Median CA data'!$D$126:$M$140,7,0)*$B128</f>
        <v>-387263.02793732914</v>
      </c>
      <c r="F128" s="17">
        <f>VLOOKUP(F$100,'Aggregated Median CA data'!$D$126:$M$140,7,0)*$B128</f>
        <v>-414669.2992952101</v>
      </c>
      <c r="G128" s="17">
        <f>VLOOKUP(G$100,'Aggregated Median CA data'!$D$126:$M$140,7,0)*$B128</f>
        <v>-361674.64817629801</v>
      </c>
      <c r="H128" s="17">
        <f>VLOOKUP(H$100,'Aggregated Median CA data'!$D$126:$M$140,7,0)*$B128</f>
        <v>-225508.76623791669</v>
      </c>
      <c r="I128" s="17">
        <f>VLOOKUP(I$100,'Aggregated Median CA data'!$D$126:$M$140,7,0)*$B128</f>
        <v>-114394.36701347881</v>
      </c>
      <c r="J128" s="17">
        <f>VLOOKUP(J$100,'Aggregated Median CA data'!$D$126:$M$140,7,0)*$B128</f>
        <v>-51669.697771419575</v>
      </c>
      <c r="K128" s="17">
        <f>VLOOKUP(K$100,'Aggregated Median CA data'!$D$126:$M$140,7,0)*$B128</f>
        <v>-30396.051287436971</v>
      </c>
      <c r="L128" s="17">
        <f>VLOOKUP(L$100,'Aggregated Median CA data'!$D$126:$M$140,7,0)*$B128</f>
        <v>-11472.055969826939</v>
      </c>
      <c r="M128" s="17">
        <f>VLOOKUP(M$100,'Aggregated Median CA data'!$D$126:$M$140,7,0)*$B128</f>
        <v>-7975.1400515198357</v>
      </c>
      <c r="N128" s="17">
        <f>VLOOKUP(N$100,'Aggregated Median CA data'!$D$126:$M$140,7,0)*$B128</f>
        <v>-5299.5408650046929</v>
      </c>
      <c r="O128" s="17">
        <f>VLOOKUP(O$100,'Aggregated Median CA data'!$D$126:$M$140,7,0)*$B128</f>
        <v>-2917.0971674371881</v>
      </c>
      <c r="P128" s="17">
        <f>VLOOKUP(P$100,'Aggregated Median CA data'!$D$126:$M$140,7,0)*$B128</f>
        <v>-2115.4238699745197</v>
      </c>
      <c r="Q128" s="17">
        <f>VLOOKUP(Q$100,'Aggregated Median CA data'!$D$126:$M$140,7,0)*$B128</f>
        <v>-177.83397904621577</v>
      </c>
      <c r="R128" s="17">
        <f>VLOOKUP(R$100,'Aggregated Median CA data'!$D$126:$M$140,7,0)*$B128</f>
        <v>-765.16417268133182</v>
      </c>
    </row>
    <row r="129" spans="1:18">
      <c r="A129" s="18">
        <f t="shared" ref="A129:A142" si="33">A102</f>
        <v>2026</v>
      </c>
      <c r="B129" s="24">
        <f t="shared" si="32"/>
        <v>1950000</v>
      </c>
      <c r="C129" s="22"/>
      <c r="E129" s="17">
        <f>IFERROR((D128/$B128)*$B129,0)</f>
        <v>-336048.03101631312</v>
      </c>
      <c r="F129" s="17">
        <f t="shared" ref="F129:R141" si="34">IFERROR((E128/$B128)*$B129,0)</f>
        <v>-387263.02793732914</v>
      </c>
      <c r="G129" s="17">
        <f t="shared" si="34"/>
        <v>-414669.2992952101</v>
      </c>
      <c r="H129" s="17">
        <f t="shared" si="34"/>
        <v>-361674.64817629801</v>
      </c>
      <c r="I129" s="17">
        <f t="shared" si="34"/>
        <v>-225508.76623791669</v>
      </c>
      <c r="J129" s="17">
        <f t="shared" si="34"/>
        <v>-114394.36701347881</v>
      </c>
      <c r="K129" s="17">
        <f t="shared" si="34"/>
        <v>-51669.697771419575</v>
      </c>
      <c r="L129" s="17">
        <f t="shared" si="34"/>
        <v>-30396.051287436971</v>
      </c>
      <c r="M129" s="17">
        <f t="shared" si="34"/>
        <v>-11472.055969826939</v>
      </c>
      <c r="N129" s="17">
        <f t="shared" si="34"/>
        <v>-7975.1400515198357</v>
      </c>
      <c r="O129" s="17">
        <f t="shared" si="34"/>
        <v>-5299.5408650046929</v>
      </c>
      <c r="P129" s="17">
        <f t="shared" si="34"/>
        <v>-2917.0971674371881</v>
      </c>
      <c r="Q129" s="17">
        <f t="shared" si="34"/>
        <v>-2115.4238699745197</v>
      </c>
      <c r="R129" s="17">
        <f t="shared" si="34"/>
        <v>-177.83397904621577</v>
      </c>
    </row>
    <row r="130" spans="1:18">
      <c r="A130" s="18">
        <f t="shared" si="33"/>
        <v>2027</v>
      </c>
      <c r="B130" s="24">
        <f t="shared" si="32"/>
        <v>1950000</v>
      </c>
      <c r="C130" s="22"/>
      <c r="F130" s="17">
        <f>IFERROR((E129/$B129)*$B130,0)</f>
        <v>-336048.03101631312</v>
      </c>
      <c r="G130" s="17">
        <f t="shared" si="34"/>
        <v>-387263.02793732914</v>
      </c>
      <c r="H130" s="17">
        <f t="shared" si="34"/>
        <v>-414669.2992952101</v>
      </c>
      <c r="I130" s="17">
        <f t="shared" si="34"/>
        <v>-361674.64817629801</v>
      </c>
      <c r="J130" s="17">
        <f t="shared" si="34"/>
        <v>-225508.76623791669</v>
      </c>
      <c r="K130" s="17">
        <f t="shared" si="34"/>
        <v>-114394.36701347881</v>
      </c>
      <c r="L130" s="17">
        <f t="shared" si="34"/>
        <v>-51669.697771419575</v>
      </c>
      <c r="M130" s="17">
        <f t="shared" si="34"/>
        <v>-30396.051287436971</v>
      </c>
      <c r="N130" s="17">
        <f t="shared" si="34"/>
        <v>-11472.055969826939</v>
      </c>
      <c r="O130" s="17">
        <f t="shared" si="34"/>
        <v>-7975.1400515198357</v>
      </c>
      <c r="P130" s="17">
        <f t="shared" si="34"/>
        <v>-5299.5408650046929</v>
      </c>
      <c r="Q130" s="17">
        <f t="shared" si="34"/>
        <v>-2917.0971674371881</v>
      </c>
      <c r="R130" s="17">
        <f t="shared" si="34"/>
        <v>-2115.4238699745197</v>
      </c>
    </row>
    <row r="131" spans="1:18">
      <c r="A131" s="18">
        <f t="shared" si="33"/>
        <v>2028</v>
      </c>
      <c r="B131" s="24">
        <f t="shared" si="32"/>
        <v>1950000</v>
      </c>
      <c r="C131" s="22"/>
      <c r="G131" s="17">
        <f>IFERROR((F130/$B130)*$B131,0)</f>
        <v>-336048.03101631312</v>
      </c>
      <c r="H131" s="17">
        <f t="shared" si="34"/>
        <v>-387263.02793732914</v>
      </c>
      <c r="I131" s="17">
        <f t="shared" si="34"/>
        <v>-414669.2992952101</v>
      </c>
      <c r="J131" s="17">
        <f t="shared" si="34"/>
        <v>-361674.64817629801</v>
      </c>
      <c r="K131" s="17">
        <f t="shared" si="34"/>
        <v>-225508.76623791669</v>
      </c>
      <c r="L131" s="17">
        <f t="shared" si="34"/>
        <v>-114394.36701347881</v>
      </c>
      <c r="M131" s="17">
        <f t="shared" si="34"/>
        <v>-51669.697771419575</v>
      </c>
      <c r="N131" s="17">
        <f t="shared" si="34"/>
        <v>-30396.051287436971</v>
      </c>
      <c r="O131" s="17">
        <f t="shared" si="34"/>
        <v>-11472.055969826939</v>
      </c>
      <c r="P131" s="17">
        <f t="shared" si="34"/>
        <v>-7975.1400515198357</v>
      </c>
      <c r="Q131" s="17">
        <f t="shared" si="34"/>
        <v>-5299.5408650046929</v>
      </c>
      <c r="R131" s="17">
        <f t="shared" si="34"/>
        <v>-2917.0971674371881</v>
      </c>
    </row>
    <row r="132" spans="1:18">
      <c r="A132" s="18">
        <f t="shared" si="33"/>
        <v>2029</v>
      </c>
      <c r="B132" s="24">
        <f t="shared" si="32"/>
        <v>1950000</v>
      </c>
      <c r="C132" s="22"/>
      <c r="H132" s="17">
        <f>IFERROR((G131/$B131)*$B132,0)</f>
        <v>-336048.03101631312</v>
      </c>
      <c r="I132" s="17">
        <f t="shared" si="34"/>
        <v>-387263.02793732914</v>
      </c>
      <c r="J132" s="17">
        <f t="shared" si="34"/>
        <v>-414669.2992952101</v>
      </c>
      <c r="K132" s="17">
        <f t="shared" si="34"/>
        <v>-361674.64817629801</v>
      </c>
      <c r="L132" s="17">
        <f t="shared" si="34"/>
        <v>-225508.76623791669</v>
      </c>
      <c r="M132" s="17">
        <f t="shared" si="34"/>
        <v>-114394.36701347881</v>
      </c>
      <c r="N132" s="17">
        <f t="shared" si="34"/>
        <v>-51669.697771419575</v>
      </c>
      <c r="O132" s="17">
        <f t="shared" si="34"/>
        <v>-30396.051287436971</v>
      </c>
      <c r="P132" s="17">
        <f t="shared" si="34"/>
        <v>-11472.055969826939</v>
      </c>
      <c r="Q132" s="17">
        <f t="shared" si="34"/>
        <v>-7975.1400515198357</v>
      </c>
      <c r="R132" s="17">
        <f t="shared" si="34"/>
        <v>-5299.5408650046929</v>
      </c>
    </row>
    <row r="133" spans="1:18">
      <c r="A133" s="18">
        <f t="shared" si="33"/>
        <v>2030</v>
      </c>
      <c r="B133" s="24">
        <f t="shared" si="32"/>
        <v>1950000</v>
      </c>
      <c r="C133" s="22"/>
      <c r="I133" s="17">
        <f>IFERROR((H132/$B132)*$B133,0)</f>
        <v>-336048.03101631312</v>
      </c>
      <c r="J133" s="17">
        <f t="shared" si="34"/>
        <v>-387263.02793732914</v>
      </c>
      <c r="K133" s="17">
        <f t="shared" si="34"/>
        <v>-414669.2992952101</v>
      </c>
      <c r="L133" s="17">
        <f t="shared" si="34"/>
        <v>-361674.64817629801</v>
      </c>
      <c r="M133" s="17">
        <f t="shared" si="34"/>
        <v>-225508.76623791669</v>
      </c>
      <c r="N133" s="17">
        <f t="shared" si="34"/>
        <v>-114394.36701347881</v>
      </c>
      <c r="O133" s="17">
        <f t="shared" si="34"/>
        <v>-51669.697771419575</v>
      </c>
      <c r="P133" s="17">
        <f t="shared" si="34"/>
        <v>-30396.051287436971</v>
      </c>
      <c r="Q133" s="17">
        <f t="shared" si="34"/>
        <v>-11472.055969826939</v>
      </c>
      <c r="R133" s="17">
        <f t="shared" si="34"/>
        <v>-7975.1400515198357</v>
      </c>
    </row>
    <row r="134" spans="1:18">
      <c r="A134" s="18">
        <f t="shared" si="33"/>
        <v>2031</v>
      </c>
      <c r="B134" s="24">
        <f t="shared" si="32"/>
        <v>1950000</v>
      </c>
      <c r="C134" s="22"/>
      <c r="J134" s="17">
        <f>IFERROR((I133/$B133)*$B134,0)</f>
        <v>-336048.03101631312</v>
      </c>
      <c r="K134" s="17">
        <f t="shared" si="34"/>
        <v>-387263.02793732914</v>
      </c>
      <c r="L134" s="17">
        <f t="shared" si="34"/>
        <v>-414669.2992952101</v>
      </c>
      <c r="M134" s="17">
        <f t="shared" si="34"/>
        <v>-361674.64817629801</v>
      </c>
      <c r="N134" s="17">
        <f t="shared" si="34"/>
        <v>-225508.76623791669</v>
      </c>
      <c r="O134" s="17">
        <f t="shared" si="34"/>
        <v>-114394.36701347881</v>
      </c>
      <c r="P134" s="17">
        <f t="shared" si="34"/>
        <v>-51669.697771419575</v>
      </c>
      <c r="Q134" s="17">
        <f t="shared" si="34"/>
        <v>-30396.051287436971</v>
      </c>
      <c r="R134" s="17">
        <f t="shared" si="34"/>
        <v>-11472.055969826939</v>
      </c>
    </row>
    <row r="135" spans="1:18">
      <c r="A135" s="18">
        <f t="shared" si="33"/>
        <v>2032</v>
      </c>
      <c r="B135" s="24">
        <f t="shared" si="32"/>
        <v>1950000</v>
      </c>
      <c r="K135" s="17">
        <f>IFERROR((J134/$B134)*$B135,0)</f>
        <v>-336048.03101631312</v>
      </c>
      <c r="L135" s="17">
        <f t="shared" si="34"/>
        <v>-387263.02793732914</v>
      </c>
      <c r="M135" s="17">
        <f t="shared" si="34"/>
        <v>-414669.2992952101</v>
      </c>
      <c r="N135" s="17">
        <f t="shared" si="34"/>
        <v>-361674.64817629801</v>
      </c>
      <c r="O135" s="17">
        <f t="shared" si="34"/>
        <v>-225508.76623791669</v>
      </c>
      <c r="P135" s="17">
        <f t="shared" si="34"/>
        <v>-114394.36701347881</v>
      </c>
      <c r="Q135" s="17">
        <f t="shared" si="34"/>
        <v>-51669.697771419575</v>
      </c>
      <c r="R135" s="17">
        <f t="shared" si="34"/>
        <v>-30396.051287436971</v>
      </c>
    </row>
    <row r="136" spans="1:18">
      <c r="A136" s="18">
        <f t="shared" si="33"/>
        <v>2033</v>
      </c>
      <c r="B136" s="24">
        <f t="shared" si="32"/>
        <v>1950000</v>
      </c>
      <c r="L136" s="17">
        <f>IFERROR((K135/$B135)*$B136,0)</f>
        <v>-336048.03101631312</v>
      </c>
      <c r="M136" s="17">
        <f t="shared" si="34"/>
        <v>-387263.02793732914</v>
      </c>
      <c r="N136" s="17">
        <f t="shared" si="34"/>
        <v>-414669.2992952101</v>
      </c>
      <c r="O136" s="17">
        <f t="shared" si="34"/>
        <v>-361674.64817629801</v>
      </c>
      <c r="P136" s="17">
        <f t="shared" si="34"/>
        <v>-225508.76623791669</v>
      </c>
      <c r="Q136" s="17">
        <f t="shared" si="34"/>
        <v>-114394.36701347881</v>
      </c>
      <c r="R136" s="17">
        <f t="shared" si="34"/>
        <v>-51669.697771419575</v>
      </c>
    </row>
    <row r="137" spans="1:18">
      <c r="A137" s="18">
        <f t="shared" si="33"/>
        <v>2034</v>
      </c>
      <c r="B137" s="24">
        <f t="shared" si="32"/>
        <v>1950000</v>
      </c>
      <c r="M137" s="17">
        <f>IFERROR((L136/$B136)*$B137,0)</f>
        <v>-336048.03101631312</v>
      </c>
      <c r="N137" s="17">
        <f t="shared" si="34"/>
        <v>-387263.02793732914</v>
      </c>
      <c r="O137" s="17">
        <f t="shared" si="34"/>
        <v>-414669.2992952101</v>
      </c>
      <c r="P137" s="17">
        <f t="shared" si="34"/>
        <v>-361674.64817629801</v>
      </c>
      <c r="Q137" s="17">
        <f t="shared" si="34"/>
        <v>-225508.76623791669</v>
      </c>
      <c r="R137" s="17">
        <f t="shared" si="34"/>
        <v>-114394.36701347881</v>
      </c>
    </row>
    <row r="138" spans="1:18">
      <c r="A138" s="18">
        <f t="shared" si="33"/>
        <v>2035</v>
      </c>
      <c r="B138" s="24">
        <f t="shared" si="32"/>
        <v>1950000</v>
      </c>
      <c r="N138" s="17">
        <f>IFERROR((M137/$B137)*$B138,0)</f>
        <v>-336048.03101631312</v>
      </c>
      <c r="O138" s="17">
        <f t="shared" si="34"/>
        <v>-387263.02793732914</v>
      </c>
      <c r="P138" s="17">
        <f t="shared" si="34"/>
        <v>-414669.2992952101</v>
      </c>
      <c r="Q138" s="17">
        <f t="shared" si="34"/>
        <v>-361674.64817629801</v>
      </c>
      <c r="R138" s="17">
        <f t="shared" si="34"/>
        <v>-225508.76623791669</v>
      </c>
    </row>
    <row r="139" spans="1:18">
      <c r="A139" s="18">
        <f t="shared" si="33"/>
        <v>2036</v>
      </c>
      <c r="B139" s="24">
        <f t="shared" si="32"/>
        <v>1950000</v>
      </c>
      <c r="O139" s="17">
        <f>IFERROR((N138/$B138)*$B139,0)</f>
        <v>-336048.03101631312</v>
      </c>
      <c r="P139" s="17">
        <f t="shared" si="34"/>
        <v>-387263.02793732914</v>
      </c>
      <c r="Q139" s="17">
        <f t="shared" si="34"/>
        <v>-414669.2992952101</v>
      </c>
      <c r="R139" s="17">
        <f t="shared" si="34"/>
        <v>-361674.64817629801</v>
      </c>
    </row>
    <row r="140" spans="1:18">
      <c r="A140" s="18">
        <f t="shared" si="33"/>
        <v>2037</v>
      </c>
      <c r="B140" s="24">
        <f t="shared" si="32"/>
        <v>1950000</v>
      </c>
      <c r="P140" s="17">
        <f>IFERROR((O139/$B139)*$B140,0)</f>
        <v>-336048.03101631312</v>
      </c>
      <c r="Q140" s="17">
        <f t="shared" si="34"/>
        <v>-387263.02793732914</v>
      </c>
      <c r="R140" s="17">
        <f t="shared" si="34"/>
        <v>-414669.2992952101</v>
      </c>
    </row>
    <row r="141" spans="1:18">
      <c r="A141" s="18">
        <f t="shared" si="33"/>
        <v>2038</v>
      </c>
      <c r="B141" s="24">
        <f t="shared" si="32"/>
        <v>1950000</v>
      </c>
      <c r="Q141" s="17">
        <f>IFERROR((P140/$B140)*$B141,0)</f>
        <v>-336048.03101631312</v>
      </c>
      <c r="R141" s="17">
        <f t="shared" si="34"/>
        <v>-387263.02793732914</v>
      </c>
    </row>
    <row r="142" spans="1:18">
      <c r="A142" s="18">
        <f t="shared" si="33"/>
        <v>2039</v>
      </c>
      <c r="B142" s="24">
        <f t="shared" si="32"/>
        <v>1950000</v>
      </c>
      <c r="R142" s="17">
        <f>IFERROR((Q141/$B141)*$B142,0)</f>
        <v>-336048.03101631312</v>
      </c>
    </row>
    <row r="143" spans="1:18">
      <c r="R143" s="17"/>
    </row>
    <row r="144" spans="1:18">
      <c r="A144" s="21" t="s">
        <v>33</v>
      </c>
      <c r="C144" s="20"/>
      <c r="D144" s="20">
        <f>SUM(D128:D142)</f>
        <v>-336048.03101631312</v>
      </c>
      <c r="E144" s="20">
        <f t="shared" ref="E144:R144" si="35">SUM(E128:E142)</f>
        <v>-723311.05895364226</v>
      </c>
      <c r="F144" s="20">
        <f t="shared" si="35"/>
        <v>-1137980.3582488522</v>
      </c>
      <c r="G144" s="20">
        <f t="shared" si="35"/>
        <v>-1499655.0064251502</v>
      </c>
      <c r="H144" s="20">
        <f t="shared" si="35"/>
        <v>-1725163.7726630671</v>
      </c>
      <c r="I144" s="20">
        <f t="shared" si="35"/>
        <v>-1839558.1396765457</v>
      </c>
      <c r="J144" s="20">
        <f t="shared" si="35"/>
        <v>-1891227.8374479655</v>
      </c>
      <c r="K144" s="20">
        <f t="shared" si="35"/>
        <v>-1921623.8887354024</v>
      </c>
      <c r="L144" s="20">
        <f t="shared" si="35"/>
        <v>-1933095.9447052293</v>
      </c>
      <c r="M144" s="20">
        <f t="shared" si="35"/>
        <v>-1941071.0847567492</v>
      </c>
      <c r="N144" s="20">
        <f t="shared" si="35"/>
        <v>-1946370.6256217537</v>
      </c>
      <c r="O144" s="20">
        <f t="shared" si="35"/>
        <v>-1949287.7227891912</v>
      </c>
      <c r="P144" s="20">
        <f t="shared" si="35"/>
        <v>-1951403.1466591656</v>
      </c>
      <c r="Q144" s="20">
        <f t="shared" si="35"/>
        <v>-1951580.9806382116</v>
      </c>
      <c r="R144" s="20">
        <f t="shared" si="35"/>
        <v>-1952346.1448108931</v>
      </c>
    </row>
    <row r="145" spans="1:18">
      <c r="A145" s="21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1:18">
      <c r="A146" s="21" t="s">
        <v>307</v>
      </c>
      <c r="C146" s="20"/>
      <c r="D146" s="20">
        <f>SUM(D144,D84,D60,D36)</f>
        <v>-5336048.0310163135</v>
      </c>
      <c r="E146" s="20">
        <f t="shared" ref="E146:R146" si="36">SUM(E144,E84,E60,E36)</f>
        <v>-723311.05895364226</v>
      </c>
      <c r="F146" s="20">
        <f t="shared" si="36"/>
        <v>-1137980.3582488522</v>
      </c>
      <c r="G146" s="20">
        <f t="shared" si="36"/>
        <v>-1499655.0064251502</v>
      </c>
      <c r="H146" s="20">
        <f t="shared" si="36"/>
        <v>-1725163.7726630671</v>
      </c>
      <c r="I146" s="20">
        <f t="shared" si="36"/>
        <v>-1839558.1396765457</v>
      </c>
      <c r="J146" s="20">
        <f t="shared" si="36"/>
        <v>-1891227.8374479655</v>
      </c>
      <c r="K146" s="20">
        <f t="shared" si="36"/>
        <v>-1921623.8887354024</v>
      </c>
      <c r="L146" s="20">
        <f t="shared" si="36"/>
        <v>-1933095.9447052293</v>
      </c>
      <c r="M146" s="20">
        <f t="shared" si="36"/>
        <v>-1941071.0847567492</v>
      </c>
      <c r="N146" s="20">
        <f t="shared" si="36"/>
        <v>-1946370.6256217537</v>
      </c>
      <c r="O146" s="20">
        <f t="shared" si="36"/>
        <v>-1949287.7227891912</v>
      </c>
      <c r="P146" s="20">
        <f t="shared" si="36"/>
        <v>-1951403.1466591656</v>
      </c>
      <c r="Q146" s="20">
        <f t="shared" si="36"/>
        <v>-1951580.9806382116</v>
      </c>
      <c r="R146" s="20">
        <f t="shared" si="36"/>
        <v>-1952346.1448108931</v>
      </c>
    </row>
    <row r="147" spans="1:18">
      <c r="R147" s="17"/>
    </row>
    <row r="148" spans="1:18">
      <c r="A148" s="19" t="s">
        <v>316</v>
      </c>
      <c r="D148" s="17">
        <f>D146</f>
        <v>-5336048.0310163135</v>
      </c>
      <c r="E148" s="17">
        <f>SUM($D$146:E147)</f>
        <v>-6059359.0899699554</v>
      </c>
      <c r="F148" s="17">
        <f>SUM($D$146:F147)</f>
        <v>-7197339.4482188076</v>
      </c>
      <c r="G148" s="17">
        <f>SUM($D$146:G147)</f>
        <v>-8696994.4546439573</v>
      </c>
      <c r="H148" s="17">
        <f>SUM($D$146:H147)</f>
        <v>-10422158.227307025</v>
      </c>
      <c r="I148" s="17">
        <f>SUM($D$146:I147)</f>
        <v>-12261716.36698357</v>
      </c>
      <c r="J148" s="17">
        <f>SUM($D$146:J147)</f>
        <v>-14152944.204431536</v>
      </c>
      <c r="K148" s="17">
        <f>SUM($D$146:K147)</f>
        <v>-16074568.093166938</v>
      </c>
      <c r="L148" s="17">
        <f>SUM($D$146:L147)</f>
        <v>-18007664.037872165</v>
      </c>
      <c r="M148" s="17">
        <f>SUM($D$146:M147)</f>
        <v>-19948735.122628916</v>
      </c>
      <c r="N148" s="17">
        <f>SUM($D$146:N147)</f>
        <v>-21895105.748250671</v>
      </c>
      <c r="O148" s="17">
        <f>SUM($D$146:O147)</f>
        <v>-23844393.471039861</v>
      </c>
      <c r="P148" s="17">
        <f>SUM($D$146:P147)</f>
        <v>-25795796.617699027</v>
      </c>
      <c r="Q148" s="17">
        <f>SUM($D$146:Q147)</f>
        <v>-27747377.598337241</v>
      </c>
      <c r="R148" s="17">
        <f>SUM($D$146:R147)</f>
        <v>-29699723.743148133</v>
      </c>
    </row>
    <row r="149" spans="1:18">
      <c r="R149" s="17"/>
    </row>
    <row r="150" spans="1:18">
      <c r="C150" s="39"/>
      <c r="D150" s="39" t="s">
        <v>39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15" t="s">
        <v>30</v>
      </c>
      <c r="B151" s="16" t="s">
        <v>0</v>
      </c>
      <c r="C151" s="15"/>
      <c r="D151" s="15">
        <f t="shared" ref="D151:R151" si="37">D$100</f>
        <v>2025</v>
      </c>
      <c r="E151" s="15">
        <f t="shared" si="37"/>
        <v>2026</v>
      </c>
      <c r="F151" s="15">
        <f t="shared" si="37"/>
        <v>2027</v>
      </c>
      <c r="G151" s="15">
        <f t="shared" si="37"/>
        <v>2028</v>
      </c>
      <c r="H151" s="15">
        <f t="shared" si="37"/>
        <v>2029</v>
      </c>
      <c r="I151" s="15">
        <f t="shared" si="37"/>
        <v>2030</v>
      </c>
      <c r="J151" s="15">
        <f t="shared" si="37"/>
        <v>2031</v>
      </c>
      <c r="K151" s="15">
        <f t="shared" si="37"/>
        <v>2032</v>
      </c>
      <c r="L151" s="15">
        <f t="shared" si="37"/>
        <v>2033</v>
      </c>
      <c r="M151" s="15">
        <f t="shared" si="37"/>
        <v>2034</v>
      </c>
      <c r="N151" s="15">
        <f t="shared" si="37"/>
        <v>2035</v>
      </c>
      <c r="O151" s="15">
        <f t="shared" si="37"/>
        <v>2036</v>
      </c>
      <c r="P151" s="15">
        <f t="shared" si="37"/>
        <v>2037</v>
      </c>
      <c r="Q151" s="15">
        <f t="shared" si="37"/>
        <v>2038</v>
      </c>
      <c r="R151" s="15">
        <f t="shared" si="37"/>
        <v>2039</v>
      </c>
    </row>
    <row r="152" spans="1:18">
      <c r="A152" s="18">
        <f>A101</f>
        <v>2025</v>
      </c>
      <c r="B152" s="24">
        <f t="shared" ref="B152:B166" si="38">B128</f>
        <v>1950000</v>
      </c>
      <c r="D152" s="17">
        <f>VLOOKUP(D$100,'Aggregated Median CA data'!$D$126:$M$140,8,0)*$B152</f>
        <v>0</v>
      </c>
      <c r="E152" s="17">
        <f>VLOOKUP(E$100,'Aggregated Median CA data'!$D$126:$M$140,8,0)*$B152</f>
        <v>1500.2785590530407</v>
      </c>
      <c r="F152" s="17">
        <f>VLOOKUP(F$100,'Aggregated Median CA data'!$D$126:$M$140,8,0)*$B152</f>
        <v>41129.083474614505</v>
      </c>
      <c r="G152" s="17">
        <f>VLOOKUP(G$100,'Aggregated Median CA data'!$D$126:$M$140,8,0)*$B152</f>
        <v>166780.02571994645</v>
      </c>
      <c r="H152" s="17">
        <f>VLOOKUP(H$100,'Aggregated Median CA data'!$D$126:$M$140,8,0)*$B152</f>
        <v>326594.46674278926</v>
      </c>
      <c r="I152" s="17">
        <f>VLOOKUP(I$100,'Aggregated Median CA data'!$D$126:$M$140,8,0)*$B152</f>
        <v>357609.52648879669</v>
      </c>
      <c r="J152" s="17">
        <f>VLOOKUP(J$100,'Aggregated Median CA data'!$D$126:$M$140,8,0)*$B152</f>
        <v>485273.81139552983</v>
      </c>
      <c r="K152" s="17">
        <f>VLOOKUP(K$100,'Aggregated Median CA data'!$D$126:$M$140,8,0)*$B152</f>
        <v>472341.21149671468</v>
      </c>
      <c r="L152" s="17">
        <f>VLOOKUP(L$100,'Aggregated Median CA data'!$D$126:$M$140,8,0)*$B152</f>
        <v>386852.97954289435</v>
      </c>
      <c r="M152" s="17">
        <f>VLOOKUP(M$100,'Aggregated Median CA data'!$D$126:$M$140,8,0)*$B152</f>
        <v>286694.21521642088</v>
      </c>
      <c r="N152" s="17">
        <f>VLOOKUP(N$100,'Aggregated Median CA data'!$D$126:$M$140,8,0)*$B152</f>
        <v>296659.9458001281</v>
      </c>
      <c r="O152" s="17">
        <f>VLOOKUP(O$100,'Aggregated Median CA data'!$D$126:$M$140,8,0)*$B152</f>
        <v>160566.80174068891</v>
      </c>
      <c r="P152" s="17">
        <f>VLOOKUP(P$100,'Aggregated Median CA data'!$D$126:$M$140,8,0)*$B152</f>
        <v>124279.81611819989</v>
      </c>
      <c r="Q152" s="17">
        <f>VLOOKUP(Q$100,'Aggregated Median CA data'!$D$126:$M$140,8,0)*$B152</f>
        <v>64460.775211346976</v>
      </c>
      <c r="R152" s="17">
        <f>VLOOKUP(R$100,'Aggregated Median CA data'!$D$126:$M$140,8,0)*$B152</f>
        <v>59080.127033522658</v>
      </c>
    </row>
    <row r="153" spans="1:18">
      <c r="A153" s="18">
        <f t="shared" ref="A153:A166" si="39">A102</f>
        <v>2026</v>
      </c>
      <c r="B153" s="24">
        <f t="shared" si="38"/>
        <v>1950000</v>
      </c>
      <c r="C153" s="22"/>
      <c r="D153" s="22"/>
      <c r="E153" s="17">
        <f>IFERROR((D152/$B152)*$B153,0)</f>
        <v>0</v>
      </c>
      <c r="F153" s="17">
        <f t="shared" ref="F153:R165" si="40">IFERROR((E152/$B152)*$B153,0)</f>
        <v>1500.2785590530407</v>
      </c>
      <c r="G153" s="17">
        <f t="shared" si="40"/>
        <v>41129.083474614505</v>
      </c>
      <c r="H153" s="17">
        <f t="shared" si="40"/>
        <v>166780.02571994645</v>
      </c>
      <c r="I153" s="17">
        <f t="shared" si="40"/>
        <v>326594.46674278926</v>
      </c>
      <c r="J153" s="17">
        <f t="shared" si="40"/>
        <v>357609.52648879669</v>
      </c>
      <c r="K153" s="17">
        <f t="shared" si="40"/>
        <v>485273.81139552983</v>
      </c>
      <c r="L153" s="17">
        <f t="shared" si="40"/>
        <v>472341.21149671468</v>
      </c>
      <c r="M153" s="17">
        <f t="shared" si="40"/>
        <v>386852.97954289435</v>
      </c>
      <c r="N153" s="17">
        <f t="shared" si="40"/>
        <v>286694.21521642088</v>
      </c>
      <c r="O153" s="17">
        <f t="shared" si="40"/>
        <v>296659.9458001281</v>
      </c>
      <c r="P153" s="17">
        <f t="shared" si="40"/>
        <v>160566.80174068891</v>
      </c>
      <c r="Q153" s="17">
        <f t="shared" si="40"/>
        <v>124279.81611819989</v>
      </c>
      <c r="R153" s="17">
        <f t="shared" si="40"/>
        <v>64460.775211346976</v>
      </c>
    </row>
    <row r="154" spans="1:18">
      <c r="A154" s="18">
        <f t="shared" si="39"/>
        <v>2027</v>
      </c>
      <c r="B154" s="24">
        <f t="shared" si="38"/>
        <v>1950000</v>
      </c>
      <c r="C154" s="22"/>
      <c r="D154" s="22"/>
      <c r="E154" s="22"/>
      <c r="F154" s="17">
        <f>IFERROR((E153/$B153)*$B154,0)</f>
        <v>0</v>
      </c>
      <c r="G154" s="17">
        <f t="shared" si="40"/>
        <v>1500.2785590530407</v>
      </c>
      <c r="H154" s="17">
        <f t="shared" si="40"/>
        <v>41129.083474614505</v>
      </c>
      <c r="I154" s="17">
        <f t="shared" si="40"/>
        <v>166780.02571994645</v>
      </c>
      <c r="J154" s="17">
        <f t="shared" si="40"/>
        <v>326594.46674278926</v>
      </c>
      <c r="K154" s="17">
        <f t="shared" si="40"/>
        <v>357609.52648879669</v>
      </c>
      <c r="L154" s="17">
        <f t="shared" si="40"/>
        <v>485273.81139552983</v>
      </c>
      <c r="M154" s="17">
        <f t="shared" si="40"/>
        <v>472341.21149671468</v>
      </c>
      <c r="N154" s="17">
        <f t="shared" si="40"/>
        <v>386852.97954289435</v>
      </c>
      <c r="O154" s="17">
        <f t="shared" si="40"/>
        <v>286694.21521642088</v>
      </c>
      <c r="P154" s="17">
        <f t="shared" si="40"/>
        <v>296659.9458001281</v>
      </c>
      <c r="Q154" s="17">
        <f t="shared" si="40"/>
        <v>160566.80174068891</v>
      </c>
      <c r="R154" s="17">
        <f t="shared" si="40"/>
        <v>124279.81611819989</v>
      </c>
    </row>
    <row r="155" spans="1:18">
      <c r="A155" s="18">
        <f t="shared" si="39"/>
        <v>2028</v>
      </c>
      <c r="B155" s="24">
        <f t="shared" si="38"/>
        <v>1950000</v>
      </c>
      <c r="C155" s="22"/>
      <c r="D155" s="22"/>
      <c r="E155" s="22"/>
      <c r="F155" s="22"/>
      <c r="G155" s="17">
        <f>IFERROR((F154/$B154)*$B155,0)</f>
        <v>0</v>
      </c>
      <c r="H155" s="17">
        <f t="shared" si="40"/>
        <v>1500.2785590530407</v>
      </c>
      <c r="I155" s="17">
        <f t="shared" si="40"/>
        <v>41129.083474614505</v>
      </c>
      <c r="J155" s="17">
        <f t="shared" si="40"/>
        <v>166780.02571994645</v>
      </c>
      <c r="K155" s="17">
        <f t="shared" si="40"/>
        <v>326594.46674278926</v>
      </c>
      <c r="L155" s="17">
        <f t="shared" si="40"/>
        <v>357609.52648879669</v>
      </c>
      <c r="M155" s="17">
        <f t="shared" si="40"/>
        <v>485273.81139552983</v>
      </c>
      <c r="N155" s="17">
        <f t="shared" si="40"/>
        <v>472341.21149671468</v>
      </c>
      <c r="O155" s="17">
        <f t="shared" si="40"/>
        <v>386852.97954289435</v>
      </c>
      <c r="P155" s="17">
        <f t="shared" si="40"/>
        <v>286694.21521642088</v>
      </c>
      <c r="Q155" s="17">
        <f t="shared" si="40"/>
        <v>296659.9458001281</v>
      </c>
      <c r="R155" s="17">
        <f t="shared" si="40"/>
        <v>160566.80174068891</v>
      </c>
    </row>
    <row r="156" spans="1:18">
      <c r="A156" s="18">
        <f t="shared" si="39"/>
        <v>2029</v>
      </c>
      <c r="B156" s="24">
        <f t="shared" si="38"/>
        <v>1950000</v>
      </c>
      <c r="C156" s="22"/>
      <c r="D156" s="22"/>
      <c r="E156" s="22"/>
      <c r="F156" s="22"/>
      <c r="G156" s="22"/>
      <c r="H156" s="17">
        <f>IFERROR((G155/$B155)*$B156,0)</f>
        <v>0</v>
      </c>
      <c r="I156" s="17">
        <f t="shared" si="40"/>
        <v>1500.2785590530407</v>
      </c>
      <c r="J156" s="17">
        <f t="shared" si="40"/>
        <v>41129.083474614505</v>
      </c>
      <c r="K156" s="17">
        <f t="shared" si="40"/>
        <v>166780.02571994645</v>
      </c>
      <c r="L156" s="17">
        <f t="shared" si="40"/>
        <v>326594.46674278926</v>
      </c>
      <c r="M156" s="17">
        <f t="shared" si="40"/>
        <v>357609.52648879669</v>
      </c>
      <c r="N156" s="17">
        <f t="shared" si="40"/>
        <v>485273.81139552983</v>
      </c>
      <c r="O156" s="17">
        <f t="shared" si="40"/>
        <v>472341.21149671468</v>
      </c>
      <c r="P156" s="17">
        <f t="shared" si="40"/>
        <v>386852.97954289435</v>
      </c>
      <c r="Q156" s="17">
        <f t="shared" si="40"/>
        <v>286694.21521642088</v>
      </c>
      <c r="R156" s="17">
        <f t="shared" si="40"/>
        <v>296659.9458001281</v>
      </c>
    </row>
    <row r="157" spans="1:18">
      <c r="A157" s="18">
        <f t="shared" si="39"/>
        <v>2030</v>
      </c>
      <c r="B157" s="24">
        <f t="shared" si="38"/>
        <v>1950000</v>
      </c>
      <c r="C157" s="22"/>
      <c r="D157" s="22"/>
      <c r="E157" s="22"/>
      <c r="F157" s="22"/>
      <c r="G157" s="22"/>
      <c r="H157" s="22"/>
      <c r="I157" s="17">
        <f>IFERROR((H156/$B156)*$B157,0)</f>
        <v>0</v>
      </c>
      <c r="J157" s="17">
        <f t="shared" si="40"/>
        <v>1500.2785590530407</v>
      </c>
      <c r="K157" s="17">
        <f t="shared" si="40"/>
        <v>41129.083474614505</v>
      </c>
      <c r="L157" s="17">
        <f t="shared" si="40"/>
        <v>166780.02571994645</v>
      </c>
      <c r="M157" s="17">
        <f t="shared" si="40"/>
        <v>326594.46674278926</v>
      </c>
      <c r="N157" s="17">
        <f t="shared" si="40"/>
        <v>357609.52648879669</v>
      </c>
      <c r="O157" s="17">
        <f t="shared" si="40"/>
        <v>485273.81139552983</v>
      </c>
      <c r="P157" s="17">
        <f t="shared" si="40"/>
        <v>472341.21149671468</v>
      </c>
      <c r="Q157" s="17">
        <f t="shared" si="40"/>
        <v>386852.97954289435</v>
      </c>
      <c r="R157" s="17">
        <f t="shared" si="40"/>
        <v>286694.21521642088</v>
      </c>
    </row>
    <row r="158" spans="1:18">
      <c r="A158" s="18">
        <f t="shared" si="39"/>
        <v>2031</v>
      </c>
      <c r="B158" s="24">
        <f t="shared" si="38"/>
        <v>1950000</v>
      </c>
      <c r="C158" s="22"/>
      <c r="D158" s="22"/>
      <c r="E158" s="22"/>
      <c r="F158" s="22"/>
      <c r="G158" s="22"/>
      <c r="H158" s="22"/>
      <c r="I158" s="22"/>
      <c r="J158" s="17">
        <f>IFERROR((I157/$B157)*$B158,0)</f>
        <v>0</v>
      </c>
      <c r="K158" s="17">
        <f t="shared" si="40"/>
        <v>1500.2785590530407</v>
      </c>
      <c r="L158" s="17">
        <f t="shared" si="40"/>
        <v>41129.083474614505</v>
      </c>
      <c r="M158" s="17">
        <f t="shared" si="40"/>
        <v>166780.02571994645</v>
      </c>
      <c r="N158" s="17">
        <f t="shared" si="40"/>
        <v>326594.46674278926</v>
      </c>
      <c r="O158" s="17">
        <f t="shared" si="40"/>
        <v>357609.52648879669</v>
      </c>
      <c r="P158" s="17">
        <f t="shared" si="40"/>
        <v>485273.81139552983</v>
      </c>
      <c r="Q158" s="17">
        <f t="shared" si="40"/>
        <v>472341.21149671468</v>
      </c>
      <c r="R158" s="17">
        <f t="shared" si="40"/>
        <v>386852.97954289435</v>
      </c>
    </row>
    <row r="159" spans="1:18">
      <c r="A159" s="18">
        <f t="shared" si="39"/>
        <v>2032</v>
      </c>
      <c r="B159" s="24">
        <f t="shared" si="38"/>
        <v>1950000</v>
      </c>
      <c r="K159" s="17">
        <f>IFERROR((J158/$B158)*$B159,0)</f>
        <v>0</v>
      </c>
      <c r="L159" s="17">
        <f t="shared" si="40"/>
        <v>1500.2785590530407</v>
      </c>
      <c r="M159" s="17">
        <f t="shared" si="40"/>
        <v>41129.083474614505</v>
      </c>
      <c r="N159" s="17">
        <f t="shared" si="40"/>
        <v>166780.02571994645</v>
      </c>
      <c r="O159" s="17">
        <f t="shared" si="40"/>
        <v>326594.46674278926</v>
      </c>
      <c r="P159" s="17">
        <f t="shared" si="40"/>
        <v>357609.52648879669</v>
      </c>
      <c r="Q159" s="17">
        <f t="shared" si="40"/>
        <v>485273.81139552983</v>
      </c>
      <c r="R159" s="17">
        <f t="shared" si="40"/>
        <v>472341.21149671468</v>
      </c>
    </row>
    <row r="160" spans="1:18">
      <c r="A160" s="18">
        <f t="shared" si="39"/>
        <v>2033</v>
      </c>
      <c r="B160" s="24">
        <f t="shared" si="38"/>
        <v>1950000</v>
      </c>
      <c r="L160" s="17">
        <f>IFERROR((K159/$B159)*$B160,0)</f>
        <v>0</v>
      </c>
      <c r="M160" s="17">
        <f t="shared" si="40"/>
        <v>1500.2785590530407</v>
      </c>
      <c r="N160" s="17">
        <f t="shared" si="40"/>
        <v>41129.083474614505</v>
      </c>
      <c r="O160" s="17">
        <f t="shared" si="40"/>
        <v>166780.02571994645</v>
      </c>
      <c r="P160" s="17">
        <f t="shared" si="40"/>
        <v>326594.46674278926</v>
      </c>
      <c r="Q160" s="17">
        <f t="shared" si="40"/>
        <v>357609.52648879669</v>
      </c>
      <c r="R160" s="17">
        <f t="shared" si="40"/>
        <v>485273.81139552983</v>
      </c>
    </row>
    <row r="161" spans="1:18">
      <c r="A161" s="18">
        <f t="shared" si="39"/>
        <v>2034</v>
      </c>
      <c r="B161" s="24">
        <f t="shared" si="38"/>
        <v>1950000</v>
      </c>
      <c r="M161" s="17">
        <f>IFERROR((L160/$B160)*$B161,0)</f>
        <v>0</v>
      </c>
      <c r="N161" s="17">
        <f t="shared" si="40"/>
        <v>1500.2785590530407</v>
      </c>
      <c r="O161" s="17">
        <f t="shared" si="40"/>
        <v>41129.083474614505</v>
      </c>
      <c r="P161" s="17">
        <f t="shared" si="40"/>
        <v>166780.02571994645</v>
      </c>
      <c r="Q161" s="17">
        <f t="shared" si="40"/>
        <v>326594.46674278926</v>
      </c>
      <c r="R161" s="17">
        <f t="shared" si="40"/>
        <v>357609.52648879669</v>
      </c>
    </row>
    <row r="162" spans="1:18">
      <c r="A162" s="18">
        <f t="shared" si="39"/>
        <v>2035</v>
      </c>
      <c r="B162" s="24">
        <f t="shared" si="38"/>
        <v>1950000</v>
      </c>
      <c r="N162" s="17">
        <f>IFERROR((M161/$B161)*$B162,0)</f>
        <v>0</v>
      </c>
      <c r="O162" s="17">
        <f t="shared" si="40"/>
        <v>1500.2785590530407</v>
      </c>
      <c r="P162" s="17">
        <f t="shared" si="40"/>
        <v>41129.083474614505</v>
      </c>
      <c r="Q162" s="17">
        <f t="shared" si="40"/>
        <v>166780.02571994645</v>
      </c>
      <c r="R162" s="17">
        <f t="shared" si="40"/>
        <v>326594.46674278926</v>
      </c>
    </row>
    <row r="163" spans="1:18">
      <c r="A163" s="18">
        <f t="shared" si="39"/>
        <v>2036</v>
      </c>
      <c r="B163" s="24">
        <f t="shared" si="38"/>
        <v>1950000</v>
      </c>
      <c r="O163" s="17">
        <f>IFERROR((N162/$B162)*$B163,0)</f>
        <v>0</v>
      </c>
      <c r="P163" s="17">
        <f t="shared" si="40"/>
        <v>1500.2785590530407</v>
      </c>
      <c r="Q163" s="17">
        <f t="shared" si="40"/>
        <v>41129.083474614505</v>
      </c>
      <c r="R163" s="17">
        <f t="shared" si="40"/>
        <v>166780.02571994645</v>
      </c>
    </row>
    <row r="164" spans="1:18">
      <c r="A164" s="18">
        <f t="shared" si="39"/>
        <v>2037</v>
      </c>
      <c r="B164" s="24">
        <f t="shared" si="38"/>
        <v>1950000</v>
      </c>
      <c r="P164" s="17">
        <f>IFERROR((O163/$B163)*$B164,0)</f>
        <v>0</v>
      </c>
      <c r="Q164" s="17">
        <f t="shared" si="40"/>
        <v>1500.2785590530407</v>
      </c>
      <c r="R164" s="17">
        <f t="shared" si="40"/>
        <v>41129.083474614505</v>
      </c>
    </row>
    <row r="165" spans="1:18">
      <c r="A165" s="18">
        <f t="shared" si="39"/>
        <v>2038</v>
      </c>
      <c r="B165" s="24">
        <f t="shared" si="38"/>
        <v>1950000</v>
      </c>
      <c r="Q165" s="17">
        <f>IFERROR((P164/$B164)*$B165,0)</f>
        <v>0</v>
      </c>
      <c r="R165" s="17">
        <f t="shared" si="40"/>
        <v>1500.2785590530407</v>
      </c>
    </row>
    <row r="166" spans="1:18">
      <c r="A166" s="18">
        <f t="shared" si="39"/>
        <v>2039</v>
      </c>
      <c r="B166" s="24">
        <f t="shared" si="38"/>
        <v>1950000</v>
      </c>
      <c r="Q166" s="22"/>
      <c r="R166" s="17">
        <f>IFERROR((Q165/$B165)*$B166,0)</f>
        <v>0</v>
      </c>
    </row>
    <row r="167" spans="1:18">
      <c r="R167" s="17"/>
    </row>
    <row r="168" spans="1:18">
      <c r="A168" s="21" t="s">
        <v>33</v>
      </c>
      <c r="C168" s="20"/>
      <c r="D168" s="20">
        <f>SUM(D152:D166)</f>
        <v>0</v>
      </c>
      <c r="E168" s="20">
        <f t="shared" ref="E168:R168" si="41">SUM(E152:E166)</f>
        <v>1500.2785590530407</v>
      </c>
      <c r="F168" s="20">
        <f t="shared" si="41"/>
        <v>42629.362033667545</v>
      </c>
      <c r="G168" s="20">
        <f t="shared" si="41"/>
        <v>209409.38775361402</v>
      </c>
      <c r="H168" s="20">
        <f t="shared" si="41"/>
        <v>536003.85449640336</v>
      </c>
      <c r="I168" s="20">
        <f t="shared" si="41"/>
        <v>893613.38098520006</v>
      </c>
      <c r="J168" s="20">
        <f t="shared" si="41"/>
        <v>1378887.1923807298</v>
      </c>
      <c r="K168" s="20">
        <f t="shared" si="41"/>
        <v>1851228.4038774443</v>
      </c>
      <c r="L168" s="20">
        <f t="shared" si="41"/>
        <v>2238081.3834203389</v>
      </c>
      <c r="M168" s="20">
        <f t="shared" si="41"/>
        <v>2524775.5986367594</v>
      </c>
      <c r="N168" s="20">
        <f t="shared" si="41"/>
        <v>2821435.5444368878</v>
      </c>
      <c r="O168" s="20">
        <f t="shared" si="41"/>
        <v>2982002.3461775766</v>
      </c>
      <c r="P168" s="20">
        <f t="shared" si="41"/>
        <v>3106282.1622957764</v>
      </c>
      <c r="Q168" s="20">
        <f t="shared" si="41"/>
        <v>3170742.9375071237</v>
      </c>
      <c r="R168" s="20">
        <f t="shared" si="41"/>
        <v>3229823.064540646</v>
      </c>
    </row>
    <row r="169" spans="1:18">
      <c r="A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</row>
    <row r="170" spans="1:18">
      <c r="A170" s="21" t="s">
        <v>307</v>
      </c>
      <c r="C170" s="20"/>
      <c r="D170" s="20">
        <f>SUM(D168,D89,D65,D41)</f>
        <v>0</v>
      </c>
      <c r="E170" s="20">
        <f t="shared" ref="E170:R170" si="42">SUM(E168,E89,E65,E41)</f>
        <v>1500.2785590530407</v>
      </c>
      <c r="F170" s="20">
        <f t="shared" si="42"/>
        <v>42629.362033667545</v>
      </c>
      <c r="G170" s="20">
        <f t="shared" si="42"/>
        <v>209409.38775361402</v>
      </c>
      <c r="H170" s="20">
        <f t="shared" si="42"/>
        <v>536003.85449640336</v>
      </c>
      <c r="I170" s="20">
        <f t="shared" si="42"/>
        <v>893613.38098520006</v>
      </c>
      <c r="J170" s="20">
        <f t="shared" si="42"/>
        <v>1378887.1923807298</v>
      </c>
      <c r="K170" s="20">
        <f t="shared" si="42"/>
        <v>1851228.4038774443</v>
      </c>
      <c r="L170" s="20">
        <f t="shared" si="42"/>
        <v>2238081.3834203389</v>
      </c>
      <c r="M170" s="20">
        <f t="shared" si="42"/>
        <v>2524775.5986367594</v>
      </c>
      <c r="N170" s="20">
        <f t="shared" si="42"/>
        <v>2821435.5444368878</v>
      </c>
      <c r="O170" s="20">
        <f t="shared" si="42"/>
        <v>2982002.3461775766</v>
      </c>
      <c r="P170" s="20">
        <f t="shared" si="42"/>
        <v>3106282.1622957764</v>
      </c>
      <c r="Q170" s="20">
        <f t="shared" si="42"/>
        <v>3170742.9375071237</v>
      </c>
      <c r="R170" s="20">
        <f t="shared" si="42"/>
        <v>3229823.064540646</v>
      </c>
    </row>
    <row r="171" spans="1:18">
      <c r="A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</row>
    <row r="172" spans="1:18">
      <c r="A172" s="21" t="s">
        <v>315</v>
      </c>
      <c r="C172" s="20"/>
      <c r="D172" s="20">
        <f>D170</f>
        <v>0</v>
      </c>
      <c r="E172" s="20">
        <f>SUM($D$170:E170)</f>
        <v>1500.2785590530407</v>
      </c>
      <c r="F172" s="20">
        <f>SUM($D$170:F170)</f>
        <v>44129.640592720585</v>
      </c>
      <c r="G172" s="20">
        <f>SUM($D$170:G170)</f>
        <v>253539.02834633461</v>
      </c>
      <c r="H172" s="20">
        <f>SUM($D$170:H170)</f>
        <v>789542.88284273795</v>
      </c>
      <c r="I172" s="20">
        <f>SUM($D$170:I170)</f>
        <v>1683156.2638279381</v>
      </c>
      <c r="J172" s="20">
        <f>SUM($D$170:J170)</f>
        <v>3062043.4562086677</v>
      </c>
      <c r="K172" s="20">
        <f>SUM($D$170:K170)</f>
        <v>4913271.8600861123</v>
      </c>
      <c r="L172" s="20">
        <f>SUM($D$170:L170)</f>
        <v>7151353.2435064511</v>
      </c>
      <c r="M172" s="20">
        <f>SUM($D$170:M170)</f>
        <v>9676128.8421432115</v>
      </c>
      <c r="N172" s="20">
        <f>SUM($D$170:N170)</f>
        <v>12497564.386580098</v>
      </c>
      <c r="O172" s="20">
        <f>SUM($D$170:O170)</f>
        <v>15479566.732757675</v>
      </c>
      <c r="P172" s="20">
        <f>SUM($D$170:P170)</f>
        <v>18585848.89505345</v>
      </c>
      <c r="Q172" s="20">
        <f>SUM($D$170:Q170)</f>
        <v>21756591.832560573</v>
      </c>
      <c r="R172" s="20">
        <f>SUM($D$170:R170)</f>
        <v>24986414.89710122</v>
      </c>
    </row>
    <row r="173" spans="1:18">
      <c r="R173" s="17"/>
    </row>
    <row r="174" spans="1:18">
      <c r="C174" s="39"/>
      <c r="D174" s="39" t="s">
        <v>2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15" t="s">
        <v>30</v>
      </c>
      <c r="B175" s="16" t="s">
        <v>0</v>
      </c>
      <c r="C175" s="15"/>
      <c r="D175" s="15">
        <f t="shared" ref="D175:R175" si="43">D$100</f>
        <v>2025</v>
      </c>
      <c r="E175" s="15">
        <f t="shared" si="43"/>
        <v>2026</v>
      </c>
      <c r="F175" s="15">
        <f t="shared" si="43"/>
        <v>2027</v>
      </c>
      <c r="G175" s="15">
        <f t="shared" si="43"/>
        <v>2028</v>
      </c>
      <c r="H175" s="15">
        <f t="shared" si="43"/>
        <v>2029</v>
      </c>
      <c r="I175" s="15">
        <f t="shared" si="43"/>
        <v>2030</v>
      </c>
      <c r="J175" s="15">
        <f t="shared" si="43"/>
        <v>2031</v>
      </c>
      <c r="K175" s="15">
        <f t="shared" si="43"/>
        <v>2032</v>
      </c>
      <c r="L175" s="15">
        <f t="shared" si="43"/>
        <v>2033</v>
      </c>
      <c r="M175" s="15">
        <f t="shared" si="43"/>
        <v>2034</v>
      </c>
      <c r="N175" s="15">
        <f t="shared" si="43"/>
        <v>2035</v>
      </c>
      <c r="O175" s="15">
        <f t="shared" si="43"/>
        <v>2036</v>
      </c>
      <c r="P175" s="15">
        <f t="shared" si="43"/>
        <v>2037</v>
      </c>
      <c r="Q175" s="15">
        <f t="shared" si="43"/>
        <v>2038</v>
      </c>
      <c r="R175" s="15">
        <f t="shared" si="43"/>
        <v>2039</v>
      </c>
    </row>
    <row r="176" spans="1:18">
      <c r="A176" s="18">
        <f t="shared" ref="A176:A190" si="44">A101</f>
        <v>2025</v>
      </c>
      <c r="B176" s="24">
        <f t="shared" ref="B176:B190" si="45">B152</f>
        <v>1950000</v>
      </c>
      <c r="D176" s="17">
        <f>VLOOKUP(D$100,'Aggregated Median CA data'!$D$126:$M$140,9,0)*$B176</f>
        <v>-336048.03101631312</v>
      </c>
      <c r="E176" s="17">
        <f>VLOOKUP(E$100,'Aggregated Median CA data'!$D$126:$M$140,9,0)*$B176</f>
        <v>-385762.74937827612</v>
      </c>
      <c r="F176" s="17">
        <f>VLOOKUP(F$100,'Aggregated Median CA data'!$D$126:$M$140,9,0)*$B176</f>
        <v>-373540.21582059556</v>
      </c>
      <c r="G176" s="17">
        <f>VLOOKUP(G$100,'Aggregated Median CA data'!$D$126:$M$140,9,0)*$B176</f>
        <v>-194894.62245635156</v>
      </c>
      <c r="H176" s="17">
        <f>VLOOKUP(H$100,'Aggregated Median CA data'!$D$126:$M$140,9,0)*$B176</f>
        <v>101085.70050487257</v>
      </c>
      <c r="I176" s="17">
        <f>VLOOKUP(I$100,'Aggregated Median CA data'!$D$126:$M$140,9,0)*$B176</f>
        <v>243215.15947531787</v>
      </c>
      <c r="J176" s="17">
        <f>VLOOKUP(J$100,'Aggregated Median CA data'!$D$126:$M$140,9,0)*$B176</f>
        <v>433604.11362411029</v>
      </c>
      <c r="K176" s="17">
        <f>VLOOKUP(K$100,'Aggregated Median CA data'!$D$126:$M$140,9,0)*$B176</f>
        <v>441945.1602092777</v>
      </c>
      <c r="L176" s="17">
        <f>VLOOKUP(L$100,'Aggregated Median CA data'!$D$126:$M$140,9,0)*$B176</f>
        <v>375380.92357306741</v>
      </c>
      <c r="M176" s="17">
        <f>VLOOKUP(M$100,'Aggregated Median CA data'!$D$126:$M$140,9,0)*$B176</f>
        <v>278719.07516490103</v>
      </c>
      <c r="N176" s="17">
        <f>VLOOKUP(N$100,'Aggregated Median CA data'!$D$126:$M$140,9,0)*$B176</f>
        <v>291360.4049351234</v>
      </c>
      <c r="O176" s="17">
        <f>VLOOKUP(O$100,'Aggregated Median CA data'!$D$126:$M$140,9,0)*$B176</f>
        <v>157649.70457325171</v>
      </c>
      <c r="P176" s="17">
        <f>VLOOKUP(P$100,'Aggregated Median CA data'!$D$126:$M$140,9,0)*$B176</f>
        <v>122164.39224822535</v>
      </c>
      <c r="Q176" s="17">
        <f>VLOOKUP(Q$100,'Aggregated Median CA data'!$D$126:$M$140,9,0)*$B176</f>
        <v>64282.941232300764</v>
      </c>
      <c r="R176" s="17">
        <f>VLOOKUP(R$100,'Aggregated Median CA data'!$D$126:$M$140,9,0)*$B176</f>
        <v>58314.962860841326</v>
      </c>
    </row>
    <row r="177" spans="1:18">
      <c r="A177" s="18">
        <f t="shared" si="44"/>
        <v>2026</v>
      </c>
      <c r="B177" s="24">
        <f t="shared" si="45"/>
        <v>1950000</v>
      </c>
      <c r="C177" s="22"/>
      <c r="D177" s="22"/>
      <c r="E177" s="17">
        <f>IFERROR((D176/$B176)*$B177,0)</f>
        <v>-336048.03101631312</v>
      </c>
      <c r="F177" s="17">
        <f t="shared" ref="F177:R189" si="46">IFERROR((E176/$B176)*$B177,0)</f>
        <v>-385762.74937827612</v>
      </c>
      <c r="G177" s="17">
        <f t="shared" si="46"/>
        <v>-373540.21582059556</v>
      </c>
      <c r="H177" s="17">
        <f t="shared" si="46"/>
        <v>-194894.62245635156</v>
      </c>
      <c r="I177" s="17">
        <f t="shared" si="46"/>
        <v>101085.70050487257</v>
      </c>
      <c r="J177" s="17">
        <f t="shared" si="46"/>
        <v>243215.15947531787</v>
      </c>
      <c r="K177" s="17">
        <f t="shared" si="46"/>
        <v>433604.11362411029</v>
      </c>
      <c r="L177" s="17">
        <f t="shared" si="46"/>
        <v>441945.1602092777</v>
      </c>
      <c r="M177" s="17">
        <f t="shared" si="46"/>
        <v>375380.92357306741</v>
      </c>
      <c r="N177" s="17">
        <f t="shared" si="46"/>
        <v>278719.07516490103</v>
      </c>
      <c r="O177" s="17">
        <f t="shared" si="46"/>
        <v>291360.4049351234</v>
      </c>
      <c r="P177" s="17">
        <f t="shared" si="46"/>
        <v>157649.70457325171</v>
      </c>
      <c r="Q177" s="17">
        <f t="shared" si="46"/>
        <v>122164.39224822535</v>
      </c>
      <c r="R177" s="17">
        <f t="shared" si="46"/>
        <v>64282.941232300764</v>
      </c>
    </row>
    <row r="178" spans="1:18">
      <c r="A178" s="18">
        <f t="shared" si="44"/>
        <v>2027</v>
      </c>
      <c r="B178" s="24">
        <f t="shared" si="45"/>
        <v>1950000</v>
      </c>
      <c r="C178" s="22"/>
      <c r="D178" s="22"/>
      <c r="E178" s="22"/>
      <c r="F178" s="17">
        <f>IFERROR((E177/$B177)*$B178,0)</f>
        <v>-336048.03101631312</v>
      </c>
      <c r="G178" s="17">
        <f t="shared" si="46"/>
        <v>-385762.74937827612</v>
      </c>
      <c r="H178" s="17">
        <f t="shared" si="46"/>
        <v>-373540.21582059556</v>
      </c>
      <c r="I178" s="17">
        <f t="shared" si="46"/>
        <v>-194894.62245635156</v>
      </c>
      <c r="J178" s="17">
        <f t="shared" si="46"/>
        <v>101085.70050487257</v>
      </c>
      <c r="K178" s="17">
        <f t="shared" si="46"/>
        <v>243215.15947531787</v>
      </c>
      <c r="L178" s="17">
        <f t="shared" si="46"/>
        <v>433604.11362411029</v>
      </c>
      <c r="M178" s="17">
        <f t="shared" si="46"/>
        <v>441945.1602092777</v>
      </c>
      <c r="N178" s="17">
        <f t="shared" si="46"/>
        <v>375380.92357306741</v>
      </c>
      <c r="O178" s="17">
        <f t="shared" si="46"/>
        <v>278719.07516490103</v>
      </c>
      <c r="P178" s="17">
        <f t="shared" si="46"/>
        <v>291360.4049351234</v>
      </c>
      <c r="Q178" s="17">
        <f t="shared" si="46"/>
        <v>157649.70457325171</v>
      </c>
      <c r="R178" s="17">
        <f t="shared" si="46"/>
        <v>122164.39224822535</v>
      </c>
    </row>
    <row r="179" spans="1:18">
      <c r="A179" s="18">
        <f t="shared" si="44"/>
        <v>2028</v>
      </c>
      <c r="B179" s="24">
        <f t="shared" si="45"/>
        <v>1950000</v>
      </c>
      <c r="C179" s="22"/>
      <c r="D179" s="22"/>
      <c r="E179" s="22"/>
      <c r="F179" s="22"/>
      <c r="G179" s="17">
        <f>IFERROR((F178/$B178)*$B179,0)</f>
        <v>-336048.03101631312</v>
      </c>
      <c r="H179" s="17">
        <f t="shared" si="46"/>
        <v>-385762.74937827612</v>
      </c>
      <c r="I179" s="17">
        <f t="shared" si="46"/>
        <v>-373540.21582059556</v>
      </c>
      <c r="J179" s="17">
        <f t="shared" si="46"/>
        <v>-194894.62245635156</v>
      </c>
      <c r="K179" s="17">
        <f t="shared" si="46"/>
        <v>101085.70050487257</v>
      </c>
      <c r="L179" s="17">
        <f t="shared" si="46"/>
        <v>243215.15947531787</v>
      </c>
      <c r="M179" s="17">
        <f t="shared" si="46"/>
        <v>433604.11362411029</v>
      </c>
      <c r="N179" s="17">
        <f t="shared" si="46"/>
        <v>441945.1602092777</v>
      </c>
      <c r="O179" s="17">
        <f t="shared" si="46"/>
        <v>375380.92357306741</v>
      </c>
      <c r="P179" s="17">
        <f t="shared" si="46"/>
        <v>278719.07516490103</v>
      </c>
      <c r="Q179" s="17">
        <f t="shared" si="46"/>
        <v>291360.4049351234</v>
      </c>
      <c r="R179" s="17">
        <f t="shared" si="46"/>
        <v>157649.70457325171</v>
      </c>
    </row>
    <row r="180" spans="1:18">
      <c r="A180" s="18">
        <f t="shared" si="44"/>
        <v>2029</v>
      </c>
      <c r="B180" s="24">
        <f t="shared" si="45"/>
        <v>1950000</v>
      </c>
      <c r="C180" s="22"/>
      <c r="D180" s="22"/>
      <c r="E180" s="22"/>
      <c r="F180" s="22"/>
      <c r="G180" s="22"/>
      <c r="H180" s="17">
        <f>IFERROR((G179/$B179)*$B180,0)</f>
        <v>-336048.03101631312</v>
      </c>
      <c r="I180" s="17">
        <f t="shared" si="46"/>
        <v>-385762.74937827612</v>
      </c>
      <c r="J180" s="17">
        <f t="shared" si="46"/>
        <v>-373540.21582059556</v>
      </c>
      <c r="K180" s="17">
        <f t="shared" si="46"/>
        <v>-194894.62245635156</v>
      </c>
      <c r="L180" s="17">
        <f t="shared" si="46"/>
        <v>101085.70050487257</v>
      </c>
      <c r="M180" s="17">
        <f t="shared" si="46"/>
        <v>243215.15947531787</v>
      </c>
      <c r="N180" s="17">
        <f t="shared" si="46"/>
        <v>433604.11362411029</v>
      </c>
      <c r="O180" s="17">
        <f t="shared" si="46"/>
        <v>441945.1602092777</v>
      </c>
      <c r="P180" s="17">
        <f t="shared" si="46"/>
        <v>375380.92357306741</v>
      </c>
      <c r="Q180" s="17">
        <f t="shared" si="46"/>
        <v>278719.07516490103</v>
      </c>
      <c r="R180" s="17">
        <f t="shared" si="46"/>
        <v>291360.4049351234</v>
      </c>
    </row>
    <row r="181" spans="1:18">
      <c r="A181" s="18">
        <f t="shared" si="44"/>
        <v>2030</v>
      </c>
      <c r="B181" s="24">
        <f t="shared" si="45"/>
        <v>1950000</v>
      </c>
      <c r="C181" s="22"/>
      <c r="D181" s="22"/>
      <c r="E181" s="22"/>
      <c r="F181" s="22"/>
      <c r="G181" s="22"/>
      <c r="H181" s="22"/>
      <c r="I181" s="17">
        <f>IFERROR((H180/$B180)*$B181,0)</f>
        <v>-336048.03101631312</v>
      </c>
      <c r="J181" s="17">
        <f t="shared" si="46"/>
        <v>-385762.74937827612</v>
      </c>
      <c r="K181" s="17">
        <f t="shared" si="46"/>
        <v>-373540.21582059556</v>
      </c>
      <c r="L181" s="17">
        <f t="shared" si="46"/>
        <v>-194894.62245635156</v>
      </c>
      <c r="M181" s="17">
        <f t="shared" si="46"/>
        <v>101085.70050487257</v>
      </c>
      <c r="N181" s="17">
        <f t="shared" si="46"/>
        <v>243215.15947531787</v>
      </c>
      <c r="O181" s="17">
        <f t="shared" si="46"/>
        <v>433604.11362411029</v>
      </c>
      <c r="P181" s="17">
        <f t="shared" si="46"/>
        <v>441945.1602092777</v>
      </c>
      <c r="Q181" s="17">
        <f t="shared" si="46"/>
        <v>375380.92357306741</v>
      </c>
      <c r="R181" s="17">
        <f t="shared" si="46"/>
        <v>278719.07516490103</v>
      </c>
    </row>
    <row r="182" spans="1:18">
      <c r="A182" s="18">
        <f t="shared" si="44"/>
        <v>2031</v>
      </c>
      <c r="B182" s="24">
        <f t="shared" si="45"/>
        <v>1950000</v>
      </c>
      <c r="C182" s="22"/>
      <c r="D182" s="22"/>
      <c r="E182" s="22"/>
      <c r="F182" s="22"/>
      <c r="G182" s="22"/>
      <c r="H182" s="22"/>
      <c r="I182" s="22"/>
      <c r="J182" s="17">
        <f>IFERROR((I181/$B181)*$B182,0)</f>
        <v>-336048.03101631312</v>
      </c>
      <c r="K182" s="17">
        <f t="shared" si="46"/>
        <v>-385762.74937827612</v>
      </c>
      <c r="L182" s="17">
        <f t="shared" si="46"/>
        <v>-373540.21582059556</v>
      </c>
      <c r="M182" s="17">
        <f t="shared" si="46"/>
        <v>-194894.62245635156</v>
      </c>
      <c r="N182" s="17">
        <f t="shared" si="46"/>
        <v>101085.70050487257</v>
      </c>
      <c r="O182" s="17">
        <f t="shared" si="46"/>
        <v>243215.15947531787</v>
      </c>
      <c r="P182" s="17">
        <f t="shared" si="46"/>
        <v>433604.11362411029</v>
      </c>
      <c r="Q182" s="17">
        <f t="shared" si="46"/>
        <v>441945.1602092777</v>
      </c>
      <c r="R182" s="17">
        <f t="shared" si="46"/>
        <v>375380.92357306741</v>
      </c>
    </row>
    <row r="183" spans="1:18">
      <c r="A183" s="18">
        <f t="shared" si="44"/>
        <v>2032</v>
      </c>
      <c r="B183" s="24">
        <f t="shared" si="45"/>
        <v>1950000</v>
      </c>
      <c r="K183" s="17">
        <f>IFERROR((J182/$B182)*$B183,0)</f>
        <v>-336048.03101631312</v>
      </c>
      <c r="L183" s="17">
        <f t="shared" si="46"/>
        <v>-385762.74937827612</v>
      </c>
      <c r="M183" s="17">
        <f t="shared" si="46"/>
        <v>-373540.21582059556</v>
      </c>
      <c r="N183" s="17">
        <f t="shared" si="46"/>
        <v>-194894.62245635156</v>
      </c>
      <c r="O183" s="17">
        <f t="shared" si="46"/>
        <v>101085.70050487257</v>
      </c>
      <c r="P183" s="17">
        <f t="shared" si="46"/>
        <v>243215.15947531787</v>
      </c>
      <c r="Q183" s="17">
        <f t="shared" si="46"/>
        <v>433604.11362411029</v>
      </c>
      <c r="R183" s="17">
        <f t="shared" si="46"/>
        <v>441945.1602092777</v>
      </c>
    </row>
    <row r="184" spans="1:18">
      <c r="A184" s="18">
        <f t="shared" si="44"/>
        <v>2033</v>
      </c>
      <c r="B184" s="24">
        <f t="shared" si="45"/>
        <v>1950000</v>
      </c>
      <c r="L184" s="17">
        <f>IFERROR((K183/$B183)*$B184,0)</f>
        <v>-336048.03101631312</v>
      </c>
      <c r="M184" s="17">
        <f t="shared" si="46"/>
        <v>-385762.74937827612</v>
      </c>
      <c r="N184" s="17">
        <f t="shared" si="46"/>
        <v>-373540.21582059556</v>
      </c>
      <c r="O184" s="17">
        <f t="shared" si="46"/>
        <v>-194894.62245635156</v>
      </c>
      <c r="P184" s="17">
        <f t="shared" si="46"/>
        <v>101085.70050487257</v>
      </c>
      <c r="Q184" s="17">
        <f t="shared" si="46"/>
        <v>243215.15947531787</v>
      </c>
      <c r="R184" s="17">
        <f t="shared" si="46"/>
        <v>433604.11362411029</v>
      </c>
    </row>
    <row r="185" spans="1:18">
      <c r="A185" s="18">
        <f t="shared" si="44"/>
        <v>2034</v>
      </c>
      <c r="B185" s="24">
        <f t="shared" si="45"/>
        <v>1950000</v>
      </c>
      <c r="L185" s="22"/>
      <c r="M185" s="17">
        <f>IFERROR((L184/$B184)*$B185,0)</f>
        <v>-336048.03101631312</v>
      </c>
      <c r="N185" s="17">
        <f t="shared" si="46"/>
        <v>-385762.74937827612</v>
      </c>
      <c r="O185" s="17">
        <f t="shared" si="46"/>
        <v>-373540.21582059556</v>
      </c>
      <c r="P185" s="17">
        <f t="shared" si="46"/>
        <v>-194894.62245635156</v>
      </c>
      <c r="Q185" s="17">
        <f t="shared" si="46"/>
        <v>101085.70050487257</v>
      </c>
      <c r="R185" s="17">
        <f t="shared" si="46"/>
        <v>243215.15947531787</v>
      </c>
    </row>
    <row r="186" spans="1:18">
      <c r="A186" s="18">
        <f t="shared" si="44"/>
        <v>2035</v>
      </c>
      <c r="B186" s="24">
        <f t="shared" si="45"/>
        <v>1950000</v>
      </c>
      <c r="N186" s="17">
        <f>IFERROR((M185/$B185)*$B186,0)</f>
        <v>-336048.03101631312</v>
      </c>
      <c r="O186" s="17">
        <f t="shared" si="46"/>
        <v>-385762.74937827612</v>
      </c>
      <c r="P186" s="17">
        <f t="shared" si="46"/>
        <v>-373540.21582059556</v>
      </c>
      <c r="Q186" s="17">
        <f t="shared" si="46"/>
        <v>-194894.62245635156</v>
      </c>
      <c r="R186" s="17">
        <f t="shared" si="46"/>
        <v>101085.70050487257</v>
      </c>
    </row>
    <row r="187" spans="1:18">
      <c r="A187" s="18">
        <f t="shared" si="44"/>
        <v>2036</v>
      </c>
      <c r="B187" s="24">
        <f t="shared" si="45"/>
        <v>1950000</v>
      </c>
      <c r="O187" s="17">
        <f>IFERROR((N186/$B186)*$B187,0)</f>
        <v>-336048.03101631312</v>
      </c>
      <c r="P187" s="17">
        <f t="shared" si="46"/>
        <v>-385762.74937827612</v>
      </c>
      <c r="Q187" s="17">
        <f t="shared" si="46"/>
        <v>-373540.21582059556</v>
      </c>
      <c r="R187" s="17">
        <f t="shared" si="46"/>
        <v>-194894.62245635156</v>
      </c>
    </row>
    <row r="188" spans="1:18">
      <c r="A188" s="18">
        <f t="shared" si="44"/>
        <v>2037</v>
      </c>
      <c r="B188" s="24">
        <f t="shared" si="45"/>
        <v>1950000</v>
      </c>
      <c r="P188" s="17">
        <f>IFERROR((O187/$B187)*$B188,0)</f>
        <v>-336048.03101631312</v>
      </c>
      <c r="Q188" s="17">
        <f t="shared" si="46"/>
        <v>-385762.74937827612</v>
      </c>
      <c r="R188" s="17">
        <f t="shared" si="46"/>
        <v>-373540.21582059556</v>
      </c>
    </row>
    <row r="189" spans="1:18">
      <c r="A189" s="18">
        <f t="shared" si="44"/>
        <v>2038</v>
      </c>
      <c r="B189" s="24">
        <f t="shared" si="45"/>
        <v>1950000</v>
      </c>
      <c r="Q189" s="17">
        <f>IFERROR((P188/$B188)*$B189,0)</f>
        <v>-336048.03101631312</v>
      </c>
      <c r="R189" s="17">
        <f t="shared" si="46"/>
        <v>-385762.74937827612</v>
      </c>
    </row>
    <row r="190" spans="1:18">
      <c r="A190" s="18">
        <f t="shared" si="44"/>
        <v>2039</v>
      </c>
      <c r="B190" s="24">
        <f t="shared" si="45"/>
        <v>1950000</v>
      </c>
      <c r="R190" s="17">
        <f>IFERROR((Q189/$B189)*$B190,0)</f>
        <v>-336048.03101631312</v>
      </c>
    </row>
    <row r="191" spans="1:18">
      <c r="R191" s="17"/>
    </row>
    <row r="192" spans="1:18">
      <c r="A192" s="21" t="s">
        <v>33</v>
      </c>
      <c r="C192" s="20"/>
      <c r="D192" s="20">
        <f>SUM(D176:D190)</f>
        <v>-336048.03101631312</v>
      </c>
      <c r="E192" s="20">
        <f t="shared" ref="E192:R192" si="47">SUM(E176:E190)</f>
        <v>-721810.7803945893</v>
      </c>
      <c r="F192" s="20">
        <f t="shared" si="47"/>
        <v>-1095350.9962151847</v>
      </c>
      <c r="G192" s="20">
        <f t="shared" si="47"/>
        <v>-1290245.6186715364</v>
      </c>
      <c r="H192" s="20">
        <f t="shared" si="47"/>
        <v>-1189159.918166664</v>
      </c>
      <c r="I192" s="20">
        <f t="shared" si="47"/>
        <v>-945944.75869134592</v>
      </c>
      <c r="J192" s="20">
        <f t="shared" si="47"/>
        <v>-512340.64506723557</v>
      </c>
      <c r="K192" s="20">
        <f t="shared" si="47"/>
        <v>-70395.484857957985</v>
      </c>
      <c r="L192" s="20">
        <f t="shared" si="47"/>
        <v>304985.43871510949</v>
      </c>
      <c r="M192" s="20">
        <f t="shared" si="47"/>
        <v>583704.51388001058</v>
      </c>
      <c r="N192" s="20">
        <f t="shared" si="47"/>
        <v>875064.91881513421</v>
      </c>
      <c r="O192" s="20">
        <f t="shared" si="47"/>
        <v>1032714.6233883853</v>
      </c>
      <c r="P192" s="20">
        <f t="shared" si="47"/>
        <v>1154879.0156366103</v>
      </c>
      <c r="Q192" s="20">
        <f t="shared" si="47"/>
        <v>1219161.9568689112</v>
      </c>
      <c r="R192" s="20">
        <f t="shared" si="47"/>
        <v>1277476.9197297525</v>
      </c>
    </row>
    <row r="193" spans="1:18">
      <c r="A193" s="21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>
      <c r="A194" s="21" t="s">
        <v>307</v>
      </c>
      <c r="C194" s="20"/>
      <c r="D194" s="20">
        <f>SUM(D192,D94,D70,D46)</f>
        <v>-5336048.0310163135</v>
      </c>
      <c r="E194" s="20">
        <f t="shared" ref="E194:R194" si="48">SUM(E192,E94,E70,E46)</f>
        <v>-721810.7803945893</v>
      </c>
      <c r="F194" s="20">
        <f t="shared" si="48"/>
        <v>-1095350.9962151847</v>
      </c>
      <c r="G194" s="20">
        <f t="shared" si="48"/>
        <v>-1290245.6186715364</v>
      </c>
      <c r="H194" s="20">
        <f t="shared" si="48"/>
        <v>-1189159.918166664</v>
      </c>
      <c r="I194" s="20">
        <f t="shared" si="48"/>
        <v>-945944.75869134592</v>
      </c>
      <c r="J194" s="20">
        <f t="shared" si="48"/>
        <v>-512340.64506723557</v>
      </c>
      <c r="K194" s="20">
        <f t="shared" si="48"/>
        <v>-70395.484857957985</v>
      </c>
      <c r="L194" s="20">
        <f t="shared" si="48"/>
        <v>304985.43871510949</v>
      </c>
      <c r="M194" s="20">
        <f t="shared" si="48"/>
        <v>583704.51388001058</v>
      </c>
      <c r="N194" s="20">
        <f t="shared" si="48"/>
        <v>875064.91881513421</v>
      </c>
      <c r="O194" s="20">
        <f t="shared" si="48"/>
        <v>1032714.6233883853</v>
      </c>
      <c r="P194" s="20">
        <f t="shared" si="48"/>
        <v>1154879.0156366103</v>
      </c>
      <c r="Q194" s="20">
        <f t="shared" si="48"/>
        <v>1219161.9568689112</v>
      </c>
      <c r="R194" s="20">
        <f t="shared" si="48"/>
        <v>1277476.9197297525</v>
      </c>
    </row>
    <row r="195" spans="1:18">
      <c r="R195" s="17"/>
    </row>
    <row r="196" spans="1:18">
      <c r="A196" s="21" t="s">
        <v>37</v>
      </c>
      <c r="C196" s="20"/>
      <c r="D196" s="20">
        <f>SUM($D$194:D194)</f>
        <v>-5336048.0310163135</v>
      </c>
      <c r="E196" s="20">
        <f>SUM($D$194:E194)</f>
        <v>-6057858.811410903</v>
      </c>
      <c r="F196" s="20">
        <f>SUM($D$194:F194)</f>
        <v>-7153209.8076260872</v>
      </c>
      <c r="G196" s="20">
        <f>SUM($D$194:G194)</f>
        <v>-8443455.4262976237</v>
      </c>
      <c r="H196" s="20">
        <f>SUM($D$194:H194)</f>
        <v>-9632615.3444642872</v>
      </c>
      <c r="I196" s="20">
        <f>SUM($D$194:I194)</f>
        <v>-10578560.103155633</v>
      </c>
      <c r="J196" s="20">
        <f>SUM($D$194:J194)</f>
        <v>-11090900.748222869</v>
      </c>
      <c r="K196" s="20">
        <f>SUM($D$194:K194)</f>
        <v>-11161296.233080827</v>
      </c>
      <c r="L196" s="20">
        <f>SUM($D$194:L194)</f>
        <v>-10856310.794365717</v>
      </c>
      <c r="M196" s="20">
        <f>SUM($D$194:M194)</f>
        <v>-10272606.280485706</v>
      </c>
      <c r="N196" s="20">
        <f>SUM($D$194:N194)</f>
        <v>-9397541.3616705723</v>
      </c>
      <c r="O196" s="20">
        <f>SUM($D$194:O194)</f>
        <v>-8364826.7382821869</v>
      </c>
      <c r="P196" s="20">
        <f>SUM($D$194:P194)</f>
        <v>-7209947.722645577</v>
      </c>
      <c r="Q196" s="20">
        <f>SUM($D$194:Q194)</f>
        <v>-5990785.7657766659</v>
      </c>
      <c r="R196" s="20">
        <f>SUM($D$194:R194)</f>
        <v>-4713308.8460469134</v>
      </c>
    </row>
    <row r="200" spans="1:18" ht="12" thickBot="1"/>
    <row r="201" spans="1:18">
      <c r="C201" s="69" t="s">
        <v>64</v>
      </c>
      <c r="D201" s="70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2"/>
    </row>
    <row r="202" spans="1:18">
      <c r="C202" s="73"/>
      <c r="D202" s="74" t="s">
        <v>6</v>
      </c>
      <c r="E202" s="74" t="s">
        <v>7</v>
      </c>
      <c r="F202" s="74" t="s">
        <v>8</v>
      </c>
      <c r="G202" s="74" t="s">
        <v>9</v>
      </c>
      <c r="H202" s="74" t="s">
        <v>10</v>
      </c>
      <c r="I202" s="74" t="s">
        <v>11</v>
      </c>
      <c r="J202" s="74" t="s">
        <v>12</v>
      </c>
      <c r="K202" s="74" t="s">
        <v>13</v>
      </c>
      <c r="L202" s="74" t="s">
        <v>14</v>
      </c>
      <c r="M202" s="74" t="s">
        <v>15</v>
      </c>
      <c r="N202" s="74" t="s">
        <v>16</v>
      </c>
      <c r="O202" s="74" t="s">
        <v>17</v>
      </c>
      <c r="P202" s="74" t="s">
        <v>18</v>
      </c>
      <c r="Q202" s="74" t="s">
        <v>19</v>
      </c>
      <c r="R202" s="75" t="s">
        <v>20</v>
      </c>
    </row>
    <row r="203" spans="1:18">
      <c r="C203" s="76" t="s">
        <v>38</v>
      </c>
      <c r="D203" s="77">
        <f>D146/1000000</f>
        <v>-5.3360480310163139</v>
      </c>
      <c r="E203" s="77">
        <f t="shared" ref="E203:R203" si="49">E146/1000000</f>
        <v>-0.72331105895364223</v>
      </c>
      <c r="F203" s="77">
        <f t="shared" si="49"/>
        <v>-1.1379803582488521</v>
      </c>
      <c r="G203" s="77">
        <f t="shared" si="49"/>
        <v>-1.4996550064251501</v>
      </c>
      <c r="H203" s="77">
        <f t="shared" si="49"/>
        <v>-1.7251637726630671</v>
      </c>
      <c r="I203" s="77">
        <f t="shared" si="49"/>
        <v>-1.8395581396765457</v>
      </c>
      <c r="J203" s="77">
        <f t="shared" si="49"/>
        <v>-1.8912278374479654</v>
      </c>
      <c r="K203" s="77">
        <f t="shared" si="49"/>
        <v>-1.9216238887354025</v>
      </c>
      <c r="L203" s="77">
        <f t="shared" si="49"/>
        <v>-1.9330959447052292</v>
      </c>
      <c r="M203" s="77">
        <f t="shared" si="49"/>
        <v>-1.9410710847567492</v>
      </c>
      <c r="N203" s="77">
        <f t="shared" si="49"/>
        <v>-1.9463706256217537</v>
      </c>
      <c r="O203" s="77">
        <f t="shared" si="49"/>
        <v>-1.9492877227891912</v>
      </c>
      <c r="P203" s="77">
        <f t="shared" si="49"/>
        <v>-1.9514031466591657</v>
      </c>
      <c r="Q203" s="77">
        <f t="shared" si="49"/>
        <v>-1.9515809806382116</v>
      </c>
      <c r="R203" s="78">
        <f t="shared" si="49"/>
        <v>-1.9523461448108932</v>
      </c>
    </row>
    <row r="204" spans="1:18">
      <c r="C204" s="76" t="s">
        <v>39</v>
      </c>
      <c r="D204" s="77">
        <f>D170/1000000</f>
        <v>0</v>
      </c>
      <c r="E204" s="77">
        <f t="shared" ref="E204:R204" si="50">E170/1000000</f>
        <v>1.5002785590530407E-3</v>
      </c>
      <c r="F204" s="77">
        <f t="shared" si="50"/>
        <v>4.2629362033667545E-2</v>
      </c>
      <c r="G204" s="77">
        <f t="shared" si="50"/>
        <v>0.20940938775361401</v>
      </c>
      <c r="H204" s="77">
        <f t="shared" si="50"/>
        <v>0.53600385449640331</v>
      </c>
      <c r="I204" s="77">
        <f t="shared" si="50"/>
        <v>0.89361338098520005</v>
      </c>
      <c r="J204" s="77">
        <f t="shared" si="50"/>
        <v>1.3788871923807298</v>
      </c>
      <c r="K204" s="77">
        <f t="shared" si="50"/>
        <v>1.8512284038774443</v>
      </c>
      <c r="L204" s="77">
        <f t="shared" si="50"/>
        <v>2.2380813834203388</v>
      </c>
      <c r="M204" s="77">
        <f t="shared" si="50"/>
        <v>2.5247755986367593</v>
      </c>
      <c r="N204" s="77">
        <f t="shared" si="50"/>
        <v>2.8214355444368877</v>
      </c>
      <c r="O204" s="77">
        <f t="shared" si="50"/>
        <v>2.9820023461775764</v>
      </c>
      <c r="P204" s="77">
        <f t="shared" si="50"/>
        <v>3.1062821622957766</v>
      </c>
      <c r="Q204" s="77">
        <f t="shared" si="50"/>
        <v>3.1707429375071237</v>
      </c>
      <c r="R204" s="78">
        <f t="shared" si="50"/>
        <v>3.2298230645406458</v>
      </c>
    </row>
    <row r="205" spans="1:18" ht="12" thickBot="1">
      <c r="C205" s="79" t="s">
        <v>66</v>
      </c>
      <c r="D205" s="80">
        <f>D194/1000000</f>
        <v>-5.3360480310163139</v>
      </c>
      <c r="E205" s="80">
        <f>E194/1000000</f>
        <v>-0.72181078039458935</v>
      </c>
      <c r="F205" s="80">
        <f t="shared" ref="F205:R205" si="51">F194/1000000</f>
        <v>-1.0953509962151846</v>
      </c>
      <c r="G205" s="80">
        <f t="shared" si="51"/>
        <v>-1.2902456186715365</v>
      </c>
      <c r="H205" s="80">
        <f t="shared" si="51"/>
        <v>-1.1891599181666639</v>
      </c>
      <c r="I205" s="80">
        <f t="shared" si="51"/>
        <v>-0.94594475869134598</v>
      </c>
      <c r="J205" s="80">
        <f t="shared" si="51"/>
        <v>-0.51234064506723553</v>
      </c>
      <c r="K205" s="80">
        <f t="shared" si="51"/>
        <v>-7.0395484857957991E-2</v>
      </c>
      <c r="L205" s="80">
        <f t="shared" si="51"/>
        <v>0.30498543871510947</v>
      </c>
      <c r="M205" s="80">
        <f t="shared" si="51"/>
        <v>0.58370451388001054</v>
      </c>
      <c r="N205" s="80">
        <f t="shared" si="51"/>
        <v>0.87506491881513426</v>
      </c>
      <c r="O205" s="80">
        <f t="shared" si="51"/>
        <v>1.0327146233883853</v>
      </c>
      <c r="P205" s="80">
        <f t="shared" si="51"/>
        <v>1.1548790156366104</v>
      </c>
      <c r="Q205" s="80">
        <f t="shared" si="51"/>
        <v>1.2191619568689112</v>
      </c>
      <c r="R205" s="81">
        <f t="shared" si="51"/>
        <v>1.2774769197297524</v>
      </c>
    </row>
    <row r="206" spans="1:18" ht="12" thickBot="1"/>
    <row r="207" spans="1:18">
      <c r="C207" s="69" t="s">
        <v>65</v>
      </c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2"/>
    </row>
    <row r="208" spans="1:18">
      <c r="C208" s="76" t="s">
        <v>295</v>
      </c>
      <c r="D208" s="77">
        <f t="shared" ref="D208:R208" si="52">D119/1000000</f>
        <v>10.76982803086729</v>
      </c>
      <c r="E208" s="77">
        <f t="shared" si="52"/>
        <v>11.549271818988773</v>
      </c>
      <c r="F208" s="77">
        <f t="shared" si="52"/>
        <v>12.379224025528787</v>
      </c>
      <c r="G208" s="77">
        <f t="shared" si="52"/>
        <v>13.337743215899375</v>
      </c>
      <c r="H208" s="77">
        <f t="shared" si="52"/>
        <v>14.56128741533624</v>
      </c>
      <c r="I208" s="77">
        <f t="shared" si="52"/>
        <v>15.961038084939908</v>
      </c>
      <c r="J208" s="77">
        <f t="shared" si="52"/>
        <v>17.690019609428813</v>
      </c>
      <c r="K208" s="77">
        <f t="shared" si="52"/>
        <v>19.714029982157324</v>
      </c>
      <c r="L208" s="77">
        <f t="shared" si="52"/>
        <v>21.965633914374109</v>
      </c>
      <c r="M208" s="77">
        <f t="shared" si="52"/>
        <v>24.449803324043984</v>
      </c>
      <c r="N208" s="77">
        <f t="shared" si="52"/>
        <v>27.195134028489047</v>
      </c>
      <c r="O208" s="77">
        <f t="shared" si="52"/>
        <v>30.15154377931227</v>
      </c>
      <c r="P208" s="77">
        <f t="shared" si="52"/>
        <v>33.342489178394118</v>
      </c>
      <c r="Q208" s="77">
        <f t="shared" si="52"/>
        <v>36.786251523375114</v>
      </c>
      <c r="R208" s="78">
        <f t="shared" si="52"/>
        <v>40.521686990084646</v>
      </c>
    </row>
    <row r="209" spans="3:18" ht="12" thickBot="1">
      <c r="C209" s="79" t="s">
        <v>68</v>
      </c>
      <c r="D209" s="80">
        <f>-SUM($D$205:D205)</f>
        <v>5.3360480310163139</v>
      </c>
      <c r="E209" s="80">
        <f>-SUM($D$205:E205)</f>
        <v>6.0578588114109033</v>
      </c>
      <c r="F209" s="80">
        <f>-SUM($D$205:F205)</f>
        <v>7.1532098076260882</v>
      </c>
      <c r="G209" s="80">
        <f>-SUM($D$205:G205)</f>
        <v>8.4434554262976249</v>
      </c>
      <c r="H209" s="80">
        <f>-SUM($D$205:H205)</f>
        <v>9.6326153444642895</v>
      </c>
      <c r="I209" s="80">
        <f>-SUM($D$205:I205)</f>
        <v>10.578560103155635</v>
      </c>
      <c r="J209" s="80">
        <f>-SUM($D$205:J205)</f>
        <v>11.09090074822287</v>
      </c>
      <c r="K209" s="80">
        <f>-SUM($D$205:K205)</f>
        <v>11.161296233080828</v>
      </c>
      <c r="L209" s="80">
        <f>-SUM($D$205:L205)</f>
        <v>10.856310794365719</v>
      </c>
      <c r="M209" s="80">
        <f>-SUM($D$205:M205)</f>
        <v>10.272606280485707</v>
      </c>
      <c r="N209" s="80">
        <f>-SUM($D$205:N205)</f>
        <v>9.397541361670573</v>
      </c>
      <c r="O209" s="80">
        <f>-SUM($D$205:O205)</f>
        <v>8.3648267382821881</v>
      </c>
      <c r="P209" s="80">
        <f>-SUM($D$205:P205)</f>
        <v>7.2099477226455777</v>
      </c>
      <c r="Q209" s="80">
        <f>-SUM($D$205:Q205)</f>
        <v>5.9907857657766668</v>
      </c>
      <c r="R209" s="81">
        <f>-SUM($D$205:R205)</f>
        <v>4.7133088460469139</v>
      </c>
    </row>
    <row r="210" spans="3:18">
      <c r="R210" s="17"/>
    </row>
    <row r="211" spans="3:18">
      <c r="C211" s="17" t="s">
        <v>296</v>
      </c>
      <c r="D211" s="17">
        <f>D123*$E$4</f>
        <v>10</v>
      </c>
      <c r="E211" s="17">
        <f t="shared" ref="E211:R211" si="53">E123*$E$4</f>
        <v>10.61</v>
      </c>
      <c r="F211" s="17">
        <f t="shared" si="53"/>
        <v>11.257210000000001</v>
      </c>
      <c r="G211" s="17">
        <f t="shared" si="53"/>
        <v>11.943899809999998</v>
      </c>
      <c r="H211" s="17">
        <f t="shared" si="53"/>
        <v>12.672477698409999</v>
      </c>
      <c r="I211" s="17">
        <f t="shared" si="53"/>
        <v>13.445498838013009</v>
      </c>
      <c r="J211" s="17">
        <f t="shared" si="53"/>
        <v>14.265674267131802</v>
      </c>
      <c r="K211" s="17">
        <f t="shared" si="53"/>
        <v>15.13588039742684</v>
      </c>
      <c r="L211" s="17">
        <f t="shared" si="53"/>
        <v>16.059169101669877</v>
      </c>
      <c r="M211" s="17">
        <f t="shared" si="53"/>
        <v>17.038778416871736</v>
      </c>
      <c r="N211" s="17">
        <f t="shared" si="53"/>
        <v>18.078143900300912</v>
      </c>
      <c r="O211" s="17">
        <f t="shared" si="53"/>
        <v>19.180910678219266</v>
      </c>
      <c r="P211" s="17">
        <f t="shared" si="53"/>
        <v>20.35094622959064</v>
      </c>
      <c r="Q211" s="17">
        <f t="shared" si="53"/>
        <v>21.592353949595669</v>
      </c>
      <c r="R211" s="17">
        <f t="shared" si="53"/>
        <v>22.909487540521003</v>
      </c>
    </row>
    <row r="212" spans="3:18">
      <c r="R212" s="17"/>
    </row>
    <row r="213" spans="3:18">
      <c r="C213" s="17" t="s">
        <v>67</v>
      </c>
      <c r="D213" s="83">
        <f>D208/D123</f>
        <v>1.076982803086729</v>
      </c>
      <c r="E213" s="83">
        <f t="shared" ref="E213:R213" si="54">E208/E123</f>
        <v>1.0885270328924386</v>
      </c>
      <c r="F213" s="83">
        <f t="shared" si="54"/>
        <v>1.0996707022014145</v>
      </c>
      <c r="G213" s="83">
        <f t="shared" si="54"/>
        <v>1.1166991877085561</v>
      </c>
      <c r="H213" s="83">
        <f t="shared" si="54"/>
        <v>1.1490481784129103</v>
      </c>
      <c r="I213" s="83">
        <f t="shared" si="54"/>
        <v>1.1870915521419694</v>
      </c>
      <c r="J213" s="83">
        <f t="shared" si="54"/>
        <v>1.2400409036526736</v>
      </c>
      <c r="K213" s="83">
        <f t="shared" si="54"/>
        <v>1.3024699894899268</v>
      </c>
      <c r="L213" s="83">
        <f t="shared" si="54"/>
        <v>1.3677939235405436</v>
      </c>
      <c r="M213" s="83">
        <f t="shared" si="54"/>
        <v>1.4349504832948516</v>
      </c>
      <c r="N213" s="83">
        <f t="shared" si="54"/>
        <v>1.5043100762150909</v>
      </c>
      <c r="O213" s="83">
        <f t="shared" si="54"/>
        <v>1.5719557994475528</v>
      </c>
      <c r="P213" s="83">
        <f t="shared" si="54"/>
        <v>1.6383753758787658</v>
      </c>
      <c r="Q213" s="83">
        <f t="shared" si="54"/>
        <v>1.7036702718586161</v>
      </c>
      <c r="R213" s="83">
        <f t="shared" si="54"/>
        <v>1.7687731739268364</v>
      </c>
    </row>
    <row r="215" spans="3:18">
      <c r="C215" s="17" t="s">
        <v>308</v>
      </c>
      <c r="D215" s="136">
        <f>(D208+(D172/1000000))/($B$4/1000000)</f>
        <v>1.076982803086729</v>
      </c>
      <c r="E215" s="136">
        <f>(E208+(E172/1000000))/($B$4/1000000)</f>
        <v>1.1550772097547826</v>
      </c>
      <c r="F215" s="136">
        <f t="shared" ref="F215:R215" si="55">(F208+(F172/1000000))/($B$4/1000000)</f>
        <v>1.2423353666121506</v>
      </c>
      <c r="G215" s="136">
        <f t="shared" si="55"/>
        <v>1.359128224424571</v>
      </c>
      <c r="H215" s="136">
        <f t="shared" si="55"/>
        <v>1.5350830298178979</v>
      </c>
      <c r="I215" s="136">
        <f t="shared" si="55"/>
        <v>1.7644194348767848</v>
      </c>
      <c r="J215" s="136">
        <f t="shared" si="55"/>
        <v>2.0752063065637478</v>
      </c>
      <c r="K215" s="136">
        <f t="shared" si="55"/>
        <v>2.4627301842243439</v>
      </c>
      <c r="L215" s="136">
        <f t="shared" si="55"/>
        <v>2.9116987157880558</v>
      </c>
      <c r="M215" s="136">
        <f t="shared" si="55"/>
        <v>3.4125932166187196</v>
      </c>
      <c r="N215" s="136">
        <f t="shared" si="55"/>
        <v>3.9692698415069145</v>
      </c>
      <c r="O215" s="136">
        <f t="shared" si="55"/>
        <v>4.5631110512069943</v>
      </c>
      <c r="P215" s="136">
        <f t="shared" si="55"/>
        <v>5.1928338073447566</v>
      </c>
      <c r="Q215" s="136">
        <f t="shared" si="55"/>
        <v>5.8542843355935688</v>
      </c>
      <c r="R215" s="136">
        <f t="shared" si="55"/>
        <v>6.5508101887185859</v>
      </c>
    </row>
  </sheetData>
  <conditionalFormatting sqref="O12">
    <cfRule type="cellIs" dxfId="0" priority="1" operator="notEqual">
      <formula>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8A16-475E-43A3-A366-95C991D7ADCA}">
  <sheetPr codeName="Sheet15"/>
  <dimension ref="J5:R21"/>
  <sheetViews>
    <sheetView showGridLines="0" workbookViewId="0">
      <selection activeCell="K11" sqref="K11"/>
    </sheetView>
  </sheetViews>
  <sheetFormatPr defaultRowHeight="12.75"/>
  <cols>
    <col min="1" max="9" width="9.140625" style="137"/>
    <col min="10" max="10" width="13.28515625" style="137" bestFit="1" customWidth="1"/>
    <col min="11" max="11" width="15.28515625" style="137" bestFit="1" customWidth="1"/>
    <col min="12" max="16384" width="9.140625" style="137"/>
  </cols>
  <sheetData>
    <row r="5" spans="10:12">
      <c r="K5" s="138" t="s">
        <v>309</v>
      </c>
    </row>
    <row r="6" spans="10:12">
      <c r="J6" s="138" t="s">
        <v>310</v>
      </c>
      <c r="K6" s="139">
        <v>3.1E-2</v>
      </c>
    </row>
    <row r="7" spans="10:12">
      <c r="J7" s="138" t="s">
        <v>311</v>
      </c>
      <c r="K7" s="139">
        <v>4.8000000000000001E-2</v>
      </c>
      <c r="L7" s="139"/>
    </row>
    <row r="8" spans="10:12">
      <c r="J8" s="138" t="s">
        <v>312</v>
      </c>
      <c r="K8" s="139">
        <v>7.0000000000000007E-2</v>
      </c>
      <c r="L8" s="139"/>
    </row>
    <row r="9" spans="10:12">
      <c r="J9" s="138" t="s">
        <v>313</v>
      </c>
      <c r="K9" s="139">
        <v>0.10199999999999999</v>
      </c>
    </row>
    <row r="10" spans="10:12">
      <c r="J10" s="138" t="s">
        <v>312</v>
      </c>
      <c r="K10" s="140">
        <v>7.0000000000000007E-2</v>
      </c>
      <c r="L10" s="141"/>
    </row>
    <row r="11" spans="10:12">
      <c r="J11" s="137" t="s">
        <v>323</v>
      </c>
      <c r="K11" s="145">
        <f>(K9*0.85)+(K7*0.15)</f>
        <v>9.3899999999999983E-2</v>
      </c>
    </row>
    <row r="12" spans="10:12">
      <c r="J12" s="138" t="s">
        <v>312</v>
      </c>
    </row>
    <row r="21" spans="18:18">
      <c r="R21" s="137" t="s">
        <v>314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144"/>
  <sheetViews>
    <sheetView workbookViewId="0">
      <selection activeCell="Y18" sqref="Y18"/>
    </sheetView>
  </sheetViews>
  <sheetFormatPr defaultRowHeight="12.75" outlineLevelCol="1"/>
  <cols>
    <col min="1" max="1" width="12.7109375" style="6" bestFit="1" customWidth="1"/>
    <col min="2" max="2" width="12.7109375" style="38" customWidth="1" outlineLevel="1"/>
    <col min="4" max="4" width="9.140625" style="6"/>
    <col min="5" max="5" width="10.42578125" style="6" bestFit="1" customWidth="1"/>
    <col min="6" max="8" width="8.42578125" style="6" bestFit="1" customWidth="1"/>
    <col min="9" max="9" width="3.28515625" customWidth="1"/>
    <col min="10" max="13" width="8.42578125" style="6" bestFit="1" customWidth="1"/>
    <col min="14" max="14" width="9.140625" style="52"/>
    <col min="16" max="16" width="12.42578125" bestFit="1" customWidth="1"/>
  </cols>
  <sheetData>
    <row r="1" spans="1:25" s="90" customFormat="1">
      <c r="E1" s="91">
        <v>12</v>
      </c>
      <c r="F1" s="91">
        <v>14</v>
      </c>
      <c r="G1" s="91">
        <v>16</v>
      </c>
      <c r="H1" s="91">
        <v>18</v>
      </c>
      <c r="J1" s="90">
        <v>3</v>
      </c>
      <c r="K1" s="90">
        <v>5</v>
      </c>
      <c r="L1" s="90">
        <v>7</v>
      </c>
      <c r="M1" s="90">
        <v>9</v>
      </c>
      <c r="N1" s="92"/>
      <c r="O1" s="90">
        <v>13</v>
      </c>
      <c r="P1" s="90">
        <v>15</v>
      </c>
      <c r="Q1" s="90">
        <v>17</v>
      </c>
      <c r="R1" s="90">
        <v>19</v>
      </c>
      <c r="T1" s="90">
        <v>4</v>
      </c>
      <c r="U1" s="90">
        <v>6</v>
      </c>
      <c r="V1" s="90">
        <v>8</v>
      </c>
      <c r="W1" s="90">
        <v>10</v>
      </c>
    </row>
    <row r="2" spans="1:25">
      <c r="E2" s="4" t="s">
        <v>25</v>
      </c>
      <c r="J2" s="4" t="s">
        <v>26</v>
      </c>
      <c r="O2" s="4" t="s">
        <v>70</v>
      </c>
      <c r="T2" s="4" t="s">
        <v>69</v>
      </c>
      <c r="U2" s="38"/>
      <c r="V2" s="38"/>
      <c r="W2" s="38"/>
    </row>
    <row r="3" spans="1:25" ht="15">
      <c r="C3" s="9" t="s">
        <v>5</v>
      </c>
      <c r="D3" s="9" t="s">
        <v>5</v>
      </c>
      <c r="E3" s="11" t="s">
        <v>22</v>
      </c>
      <c r="F3" s="11" t="s">
        <v>36</v>
      </c>
      <c r="G3" s="11" t="s">
        <v>24</v>
      </c>
      <c r="H3" s="11" t="s">
        <v>23</v>
      </c>
      <c r="J3" s="11" t="s">
        <v>22</v>
      </c>
      <c r="K3" s="11" t="s">
        <v>36</v>
      </c>
      <c r="L3" s="11" t="s">
        <v>24</v>
      </c>
      <c r="M3" s="11" t="s">
        <v>23</v>
      </c>
      <c r="O3" s="11" t="s">
        <v>22</v>
      </c>
      <c r="P3" s="11" t="s">
        <v>36</v>
      </c>
      <c r="Q3" s="11" t="s">
        <v>24</v>
      </c>
      <c r="R3" s="11" t="s">
        <v>23</v>
      </c>
      <c r="T3" s="11" t="s">
        <v>22</v>
      </c>
      <c r="U3" s="11" t="s">
        <v>36</v>
      </c>
      <c r="V3" s="11" t="s">
        <v>24</v>
      </c>
      <c r="W3" s="11" t="s">
        <v>23</v>
      </c>
      <c r="Y3" s="93"/>
    </row>
    <row r="4" spans="1:25" ht="15">
      <c r="A4" s="6" t="s">
        <v>21</v>
      </c>
      <c r="B4" s="38">
        <v>1</v>
      </c>
      <c r="C4" s="10" t="s">
        <v>6</v>
      </c>
      <c r="D4" s="27">
        <v>2025</v>
      </c>
      <c r="E4" s="86">
        <f>VLOOKUP($B4,'Global Buyout'!$A$4:$S$19,E$1,0)</f>
        <v>-0.17233232359810929</v>
      </c>
      <c r="F4" s="86">
        <f>VLOOKUP($B4,'Global Buyout'!$A$4:$S$19,F$1,0)</f>
        <v>0</v>
      </c>
      <c r="G4" s="86">
        <f>VLOOKUP($B4,'Global Buyout'!$A$4:$S$19,G$1,0)</f>
        <v>-0.17233232359810929</v>
      </c>
      <c r="H4" s="86">
        <f>VLOOKUP($B4,'Global Buyout'!$A$4:$S$19,H$1,0)</f>
        <v>0.15892278156653575</v>
      </c>
      <c r="J4" s="86">
        <f>VLOOKUP($B4,'Global Buyout'!$A$4:$S$19,J$1,0)</f>
        <v>-0.17233232359810929</v>
      </c>
      <c r="K4" s="86">
        <f>VLOOKUP($B4,'Global Buyout'!$A$4:$S$19,K$1,0)</f>
        <v>0</v>
      </c>
      <c r="L4" s="86">
        <f>VLOOKUP($B4,'Global Buyout'!$A$4:$S$19,L$1,0)</f>
        <v>-0.17233232359810929</v>
      </c>
      <c r="M4" s="86">
        <f>VLOOKUP($B4,'Global Buyout'!$A$4:$S$19,M$1,0)</f>
        <v>0.15892278156653575</v>
      </c>
      <c r="O4" s="86">
        <f>VLOOKUP($B4,'Global Buyout'!$A$4:$S$19,O$1,0)</f>
        <v>7.1281608411430983E-2</v>
      </c>
      <c r="P4" s="86">
        <f>VLOOKUP($B4,'Global Buyout'!$A$4:$S$19,P$1,0)</f>
        <v>0</v>
      </c>
      <c r="Q4" s="86">
        <f>VLOOKUP($B4,'Global Buyout'!$A$4:$S$19,Q$1,0)</f>
        <v>7.1281608411430983E-2</v>
      </c>
      <c r="R4" s="86">
        <f>VLOOKUP($B4,'Global Buyout'!$A$4:$S$19,R$1,0)</f>
        <v>6.9514520121753867E-2</v>
      </c>
      <c r="T4" s="86">
        <f>VLOOKUP($B4,'Global Buyout'!$A$4:$S$19,T$1,0)</f>
        <v>6.6877745330482949E-2</v>
      </c>
      <c r="U4" s="86">
        <f>VLOOKUP($B4,'Global Buyout'!$A$4:$S$19,U$1,0)</f>
        <v>0</v>
      </c>
      <c r="V4" s="86">
        <f>VLOOKUP($B4,'Global Buyout'!$A$4:$S$19,V$1,0)</f>
        <v>6.6877745330482949E-2</v>
      </c>
      <c r="W4" s="86">
        <f>VLOOKUP($B4,'Global Buyout'!$A$4:$S$19,W$1,0)</f>
        <v>6.9514520121753867E-2</v>
      </c>
    </row>
    <row r="5" spans="1:25" ht="15">
      <c r="A5" s="6" t="s">
        <v>21</v>
      </c>
      <c r="B5" s="38">
        <f>B4+1</f>
        <v>2</v>
      </c>
      <c r="C5" s="10" t="s">
        <v>7</v>
      </c>
      <c r="D5" s="10">
        <f>D4+1</f>
        <v>2026</v>
      </c>
      <c r="E5" s="86">
        <f>VLOOKUP($B5,'Global Buyout'!$A$4:$S$19,E$1,0)</f>
        <v>-0.37092874818135502</v>
      </c>
      <c r="F5" s="86">
        <f>VLOOKUP($B5,'Global Buyout'!$A$4:$S$19,F$1,0)</f>
        <v>7.6937362002720033E-4</v>
      </c>
      <c r="G5" s="86">
        <f>VLOOKUP($B5,'Global Buyout'!$A$4:$S$19,G$1,0)</f>
        <v>-0.37015937456132786</v>
      </c>
      <c r="H5" s="86">
        <f>VLOOKUP($B5,'Global Buyout'!$A$4:$S$19,H$1,0)</f>
        <v>0.35326424136759538</v>
      </c>
      <c r="I5" s="38"/>
      <c r="J5" s="86">
        <f>VLOOKUP($B5,'Global Buyout'!$A$4:$S$19,J$1,0)</f>
        <v>-0.19859642458324575</v>
      </c>
      <c r="K5" s="86">
        <f>VLOOKUP($B5,'Global Buyout'!$A$4:$S$19,K$1,0)</f>
        <v>7.6937362002720033E-4</v>
      </c>
      <c r="L5" s="86">
        <f>VLOOKUP($B5,'Global Buyout'!$A$4:$S$19,L$1,0)</f>
        <v>-0.19782705096321854</v>
      </c>
      <c r="M5" s="86">
        <f>VLOOKUP($B5,'Global Buyout'!$A$4:$S$19,M$1,0)</f>
        <v>0.35326424136759538</v>
      </c>
      <c r="O5" s="86">
        <f>VLOOKUP($B5,'Global Buyout'!$A$4:$S$19,O$1,0)</f>
        <v>8.8515871514899286E-2</v>
      </c>
      <c r="P5" s="86">
        <f>VLOOKUP($B5,'Global Buyout'!$A$4:$S$19,P$1,0)</f>
        <v>2.1904756194433359E-3</v>
      </c>
      <c r="Q5" s="86">
        <f>VLOOKUP($B5,'Global Buyout'!$A$4:$S$19,Q$1,0)</f>
        <v>8.854297088691758E-2</v>
      </c>
      <c r="R5" s="86">
        <f>VLOOKUP($B5,'Global Buyout'!$A$4:$S$19,R$1,0)</f>
        <v>8.7742983674334252E-2</v>
      </c>
      <c r="S5" s="38"/>
      <c r="T5" s="86">
        <f>VLOOKUP($B5,'Global Buyout'!$A$4:$S$19,T$1,0)</f>
        <v>5.2478489043812714E-2</v>
      </c>
      <c r="U5" s="86">
        <f>VLOOKUP($B5,'Global Buyout'!$A$4:$S$19,U$1,0)</f>
        <v>2.1904756194433359E-3</v>
      </c>
      <c r="V5" s="86">
        <f>VLOOKUP($B5,'Global Buyout'!$A$4:$S$19,V$1,0)</f>
        <v>5.2524184865268941E-2</v>
      </c>
      <c r="W5" s="86">
        <f>VLOOKUP($B5,'Global Buyout'!$A$4:$S$19,W$1,0)</f>
        <v>8.7742983674334252E-2</v>
      </c>
    </row>
    <row r="6" spans="1:25" ht="15">
      <c r="A6" s="6" t="s">
        <v>21</v>
      </c>
      <c r="B6" s="38">
        <f t="shared" ref="B6:B18" si="0">B5+1</f>
        <v>3</v>
      </c>
      <c r="C6" s="10" t="s">
        <v>8</v>
      </c>
      <c r="D6" s="10">
        <f t="shared" ref="D6:D18" si="1">D5+1</f>
        <v>2027</v>
      </c>
      <c r="E6" s="86">
        <f>VLOOKUP($B6,'Global Buyout'!$A$4:$S$19,E$1,0)</f>
        <v>-0.58357967089684737</v>
      </c>
      <c r="F6" s="86">
        <f>VLOOKUP($B6,'Global Buyout'!$A$4:$S$19,F$1,0)</f>
        <v>2.1861211299316688E-2</v>
      </c>
      <c r="G6" s="86">
        <f>VLOOKUP($B6,'Global Buyout'!$A$4:$S$19,G$1,0)</f>
        <v>-0.56171845959753064</v>
      </c>
      <c r="H6" s="86">
        <f>VLOOKUP($B6,'Global Buyout'!$A$4:$S$19,H$1,0)</f>
        <v>0.57458795753669567</v>
      </c>
      <c r="I6" s="38"/>
      <c r="J6" s="86">
        <f>VLOOKUP($B6,'Global Buyout'!$A$4:$S$19,J$1,0)</f>
        <v>-0.21265092271549232</v>
      </c>
      <c r="K6" s="86">
        <f>VLOOKUP($B6,'Global Buyout'!$A$4:$S$19,K$1,0)</f>
        <v>2.1091837679289488E-2</v>
      </c>
      <c r="L6" s="86">
        <f>VLOOKUP($B6,'Global Buyout'!$A$4:$S$19,L$1,0)</f>
        <v>-0.19155908503620284</v>
      </c>
      <c r="M6" s="86">
        <f>VLOOKUP($B6,'Global Buyout'!$A$4:$S$19,M$1,0)</f>
        <v>0.57458795753669567</v>
      </c>
      <c r="O6" s="86">
        <f>VLOOKUP($B6,'Global Buyout'!$A$4:$S$19,O$1,0)</f>
        <v>0.1077637057612541</v>
      </c>
      <c r="P6" s="86">
        <f>VLOOKUP($B6,'Global Buyout'!$A$4:$S$19,P$1,0)</f>
        <v>1.9305403471909136E-2</v>
      </c>
      <c r="Q6" s="86">
        <f>VLOOKUP($B6,'Global Buyout'!$A$4:$S$19,Q$1,0)</f>
        <v>0.10947928974290687</v>
      </c>
      <c r="R6" s="86">
        <f>VLOOKUP($B6,'Global Buyout'!$A$4:$S$19,R$1,0)</f>
        <v>0.11673266770662002</v>
      </c>
      <c r="S6" s="38"/>
      <c r="T6" s="86">
        <f>VLOOKUP($B6,'Global Buyout'!$A$4:$S$19,T$1,0)</f>
        <v>6.1465085775226844E-2</v>
      </c>
      <c r="U6" s="86">
        <f>VLOOKUP($B6,'Global Buyout'!$A$4:$S$19,U$1,0)</f>
        <v>1.9180730428579242E-2</v>
      </c>
      <c r="V6" s="86">
        <f>VLOOKUP($B6,'Global Buyout'!$A$4:$S$19,V$1,0)</f>
        <v>6.438833115658317E-2</v>
      </c>
      <c r="W6" s="86">
        <f>VLOOKUP($B6,'Global Buyout'!$A$4:$S$19,W$1,0)</f>
        <v>0.11673266770662002</v>
      </c>
    </row>
    <row r="7" spans="1:25" ht="15">
      <c r="A7" s="6" t="s">
        <v>21</v>
      </c>
      <c r="B7" s="38">
        <f t="shared" si="0"/>
        <v>4</v>
      </c>
      <c r="C7" s="10" t="s">
        <v>9</v>
      </c>
      <c r="D7" s="10">
        <f t="shared" si="1"/>
        <v>2028</v>
      </c>
      <c r="E7" s="86">
        <f>VLOOKUP($B7,'Global Buyout'!$A$4:$S$19,E$1,0)</f>
        <v>-0.76905384944879507</v>
      </c>
      <c r="F7" s="86">
        <f>VLOOKUP($B7,'Global Buyout'!$A$4:$S$19,F$1,0)</f>
        <v>0.10738942961723795</v>
      </c>
      <c r="G7" s="86">
        <f>VLOOKUP($B7,'Global Buyout'!$A$4:$S$19,G$1,0)</f>
        <v>-0.66166441983155699</v>
      </c>
      <c r="H7" s="86">
        <f>VLOOKUP($B7,'Global Buyout'!$A$4:$S$19,H$1,0)</f>
        <v>0.75100412679851947</v>
      </c>
      <c r="I7" s="38"/>
      <c r="J7" s="86">
        <f>VLOOKUP($B7,'Global Buyout'!$A$4:$S$19,J$1,0)</f>
        <v>-0.18547417855194764</v>
      </c>
      <c r="K7" s="86">
        <f>VLOOKUP($B7,'Global Buyout'!$A$4:$S$19,K$1,0)</f>
        <v>8.5528218317921262E-2</v>
      </c>
      <c r="L7" s="86">
        <f>VLOOKUP($B7,'Global Buyout'!$A$4:$S$19,L$1,0)</f>
        <v>-9.9945960234026382E-2</v>
      </c>
      <c r="M7" s="86">
        <f>VLOOKUP($B7,'Global Buyout'!$A$4:$S$19,M$1,0)</f>
        <v>0.75100412679851947</v>
      </c>
      <c r="O7" s="86">
        <f>VLOOKUP($B7,'Global Buyout'!$A$4:$S$19,O$1,0)</f>
        <v>0.11925916890920266</v>
      </c>
      <c r="P7" s="86">
        <f>VLOOKUP($B7,'Global Buyout'!$A$4:$S$19,P$1,0)</f>
        <v>5.3021567158643368E-2</v>
      </c>
      <c r="Q7" s="86">
        <f>VLOOKUP($B7,'Global Buyout'!$A$4:$S$19,Q$1,0)</f>
        <v>0.1305145047604758</v>
      </c>
      <c r="R7" s="86">
        <f>VLOOKUP($B7,'Global Buyout'!$A$4:$S$19,R$1,0)</f>
        <v>0.1439329916398189</v>
      </c>
      <c r="S7" s="38"/>
      <c r="T7" s="86">
        <f>VLOOKUP($B7,'Global Buyout'!$A$4:$S$19,T$1,0)</f>
        <v>5.1085546777102989E-2</v>
      </c>
      <c r="U7" s="86">
        <f>VLOOKUP($B7,'Global Buyout'!$A$4:$S$19,U$1,0)</f>
        <v>4.9382061325397582E-2</v>
      </c>
      <c r="V7" s="86">
        <f>VLOOKUP($B7,'Global Buyout'!$A$4:$S$19,V$1,0)</f>
        <v>7.1051538127340386E-2</v>
      </c>
      <c r="W7" s="86">
        <f>VLOOKUP($B7,'Global Buyout'!$A$4:$S$19,W$1,0)</f>
        <v>0.1439329916398189</v>
      </c>
    </row>
    <row r="8" spans="1:25" ht="15">
      <c r="A8" s="6" t="s">
        <v>21</v>
      </c>
      <c r="B8" s="38">
        <f t="shared" si="0"/>
        <v>5</v>
      </c>
      <c r="C8" s="10" t="s">
        <v>10</v>
      </c>
      <c r="D8" s="10">
        <f t="shared" si="1"/>
        <v>2029</v>
      </c>
      <c r="E8" s="86">
        <f>VLOOKUP($B8,'Global Buyout'!$A$4:$S$19,E$1,0)</f>
        <v>-0.88469937059644466</v>
      </c>
      <c r="F8" s="86">
        <f>VLOOKUP($B8,'Global Buyout'!$A$4:$S$19,F$1,0)</f>
        <v>0.27487377153661707</v>
      </c>
      <c r="G8" s="86">
        <f>VLOOKUP($B8,'Global Buyout'!$A$4:$S$19,G$1,0)</f>
        <v>-0.60982559905982747</v>
      </c>
      <c r="H8" s="86">
        <f>VLOOKUP($B8,'Global Buyout'!$A$4:$S$19,H$1,0)</f>
        <v>0.84207638543895191</v>
      </c>
      <c r="I8" s="38"/>
      <c r="J8" s="86">
        <f>VLOOKUP($B8,'Global Buyout'!$A$4:$S$19,J$1,0)</f>
        <v>-0.11564552114764957</v>
      </c>
      <c r="K8" s="86">
        <f>VLOOKUP($B8,'Global Buyout'!$A$4:$S$19,K$1,0)</f>
        <v>0.16748434191937911</v>
      </c>
      <c r="L8" s="86">
        <f>VLOOKUP($B8,'Global Buyout'!$A$4:$S$19,L$1,0)</f>
        <v>5.1838820771729535E-2</v>
      </c>
      <c r="M8" s="86">
        <f>VLOOKUP($B8,'Global Buyout'!$A$4:$S$19,M$1,0)</f>
        <v>0.84207638543895191</v>
      </c>
      <c r="O8" s="86">
        <f>VLOOKUP($B8,'Global Buyout'!$A$4:$S$19,O$1,0)</f>
        <v>0.13066982062782156</v>
      </c>
      <c r="P8" s="86">
        <f>VLOOKUP($B8,'Global Buyout'!$A$4:$S$19,P$1,0)</f>
        <v>0.10392417570849505</v>
      </c>
      <c r="Q8" s="86">
        <f>VLOOKUP($B8,'Global Buyout'!$A$4:$S$19,Q$1,0)</f>
        <v>0.16695758838578503</v>
      </c>
      <c r="R8" s="86">
        <f>VLOOKUP($B8,'Global Buyout'!$A$4:$S$19,R$1,0)</f>
        <v>0.18199231374330344</v>
      </c>
      <c r="S8" s="38"/>
      <c r="T8" s="86">
        <f>VLOOKUP($B8,'Global Buyout'!$A$4:$S$19,T$1,0)</f>
        <v>5.3402740135627264E-2</v>
      </c>
      <c r="U8" s="86">
        <f>VLOOKUP($B8,'Global Buyout'!$A$4:$S$19,U$1,0)</f>
        <v>8.9380913581880689E-2</v>
      </c>
      <c r="V8" s="86">
        <f>VLOOKUP($B8,'Global Buyout'!$A$4:$S$19,V$1,0)</f>
        <v>0.10411916426251681</v>
      </c>
      <c r="W8" s="86">
        <f>VLOOKUP($B8,'Global Buyout'!$A$4:$S$19,W$1,0)</f>
        <v>0.18199231374330344</v>
      </c>
    </row>
    <row r="9" spans="1:25" ht="15">
      <c r="A9" s="6" t="s">
        <v>21</v>
      </c>
      <c r="B9" s="38">
        <f t="shared" si="0"/>
        <v>6</v>
      </c>
      <c r="C9" s="10" t="s">
        <v>11</v>
      </c>
      <c r="D9" s="10">
        <f t="shared" si="1"/>
        <v>2030</v>
      </c>
      <c r="E9" s="86">
        <f>VLOOKUP($B9,'Global Buyout'!$A$4:$S$19,E$1,0)</f>
        <v>-0.94336314855207482</v>
      </c>
      <c r="F9" s="86">
        <f>VLOOKUP($B9,'Global Buyout'!$A$4:$S$19,F$1,0)</f>
        <v>0.45826327230010255</v>
      </c>
      <c r="G9" s="86">
        <f>VLOOKUP($B9,'Global Buyout'!$A$4:$S$19,G$1,0)</f>
        <v>-0.4850998762519721</v>
      </c>
      <c r="H9" s="86">
        <f>VLOOKUP($B9,'Global Buyout'!$A$4:$S$19,H$1,0)</f>
        <v>0.80576574034578041</v>
      </c>
      <c r="I9" s="38"/>
      <c r="J9" s="86">
        <f>VLOOKUP($B9,'Global Buyout'!$A$4:$S$19,J$1,0)</f>
        <v>-5.866377795563011E-2</v>
      </c>
      <c r="K9" s="86">
        <f>VLOOKUP($B9,'Global Buyout'!$A$4:$S$19,K$1,0)</f>
        <v>0.18338950076348548</v>
      </c>
      <c r="L9" s="86">
        <f>VLOOKUP($B9,'Global Buyout'!$A$4:$S$19,L$1,0)</f>
        <v>0.12472572280785538</v>
      </c>
      <c r="M9" s="86">
        <f>VLOOKUP($B9,'Global Buyout'!$A$4:$S$19,M$1,0)</f>
        <v>0.80576574034578041</v>
      </c>
      <c r="O9" s="86">
        <f>VLOOKUP($B9,'Global Buyout'!$A$4:$S$19,O$1,0)</f>
        <v>0.13532510245846824</v>
      </c>
      <c r="P9" s="86">
        <f>VLOOKUP($B9,'Global Buyout'!$A$4:$S$19,P$1,0)</f>
        <v>0.13814560025826544</v>
      </c>
      <c r="Q9" s="86">
        <f>VLOOKUP($B9,'Global Buyout'!$A$4:$S$19,Q$1,0)</f>
        <v>0.1933832728705133</v>
      </c>
      <c r="R9" s="86">
        <f>VLOOKUP($B9,'Global Buyout'!$A$4:$S$19,R$1,0)</f>
        <v>0.20880906401934268</v>
      </c>
      <c r="S9" s="38"/>
      <c r="T9" s="86">
        <f>VLOOKUP($B9,'Global Buyout'!$A$4:$S$19,T$1,0)</f>
        <v>3.5189221822709629E-2</v>
      </c>
      <c r="U9" s="86">
        <f>VLOOKUP($B9,'Global Buyout'!$A$4:$S$19,U$1,0)</f>
        <v>9.1016331358862834E-2</v>
      </c>
      <c r="V9" s="86">
        <f>VLOOKUP($B9,'Global Buyout'!$A$4:$S$19,V$1,0)</f>
        <v>9.7582036802447314E-2</v>
      </c>
      <c r="W9" s="86">
        <f>VLOOKUP($B9,'Global Buyout'!$A$4:$S$19,W$1,0)</f>
        <v>0.20880906401934268</v>
      </c>
    </row>
    <row r="10" spans="1:25" ht="15">
      <c r="A10" s="6" t="s">
        <v>21</v>
      </c>
      <c r="B10" s="38">
        <f t="shared" si="0"/>
        <v>7</v>
      </c>
      <c r="C10" s="10" t="s">
        <v>12</v>
      </c>
      <c r="D10" s="10">
        <f t="shared" si="1"/>
        <v>2031</v>
      </c>
      <c r="E10" s="86">
        <f>VLOOKUP($B10,'Global Buyout'!$A$4:$S$19,E$1,0)</f>
        <v>-0.96986042946049511</v>
      </c>
      <c r="F10" s="86">
        <f>VLOOKUP($B10,'Global Buyout'!$A$4:$S$19,F$1,0)</f>
        <v>0.70712163711832299</v>
      </c>
      <c r="G10" s="86">
        <f>VLOOKUP($B10,'Global Buyout'!$A$4:$S$19,G$1,0)</f>
        <v>-0.2627387923421719</v>
      </c>
      <c r="H10" s="86">
        <f>VLOOKUP($B10,'Global Buyout'!$A$4:$S$19,H$1,0)</f>
        <v>0.73381849247098685</v>
      </c>
      <c r="I10" s="38"/>
      <c r="J10" s="86">
        <f>VLOOKUP($B10,'Global Buyout'!$A$4:$S$19,J$1,0)</f>
        <v>-2.6497280908420264E-2</v>
      </c>
      <c r="K10" s="86">
        <f>VLOOKUP($B10,'Global Buyout'!$A$4:$S$19,K$1,0)</f>
        <v>0.24885836481822046</v>
      </c>
      <c r="L10" s="86">
        <f>VLOOKUP($B10,'Global Buyout'!$A$4:$S$19,L$1,0)</f>
        <v>0.22236108390980019</v>
      </c>
      <c r="M10" s="86">
        <f>VLOOKUP($B10,'Global Buyout'!$A$4:$S$19,M$1,0)</f>
        <v>0.73381849247098685</v>
      </c>
      <c r="O10" s="86">
        <f>VLOOKUP($B10,'Global Buyout'!$A$4:$S$19,O$1,0)</f>
        <v>0.13669496616738241</v>
      </c>
      <c r="P10" s="86">
        <f>VLOOKUP($B10,'Global Buyout'!$A$4:$S$19,P$1,0)</f>
        <v>0.19714220493302964</v>
      </c>
      <c r="Q10" s="86">
        <f>VLOOKUP($B10,'Global Buyout'!$A$4:$S$19,Q$1,0)</f>
        <v>0.23989698360204215</v>
      </c>
      <c r="R10" s="86">
        <f>VLOOKUP($B10,'Global Buyout'!$A$4:$S$19,R$1,0)</f>
        <v>0.23325753183827205</v>
      </c>
      <c r="S10" s="38"/>
      <c r="T10" s="86">
        <f>VLOOKUP($B10,'Global Buyout'!$A$4:$S$19,T$1,0)</f>
        <v>1.9303637483823896E-2</v>
      </c>
      <c r="U10" s="86">
        <f>VLOOKUP($B10,'Global Buyout'!$A$4:$S$19,U$1,0)</f>
        <v>0.14064438166930163</v>
      </c>
      <c r="V10" s="86">
        <f>VLOOKUP($B10,'Global Buyout'!$A$4:$S$19,V$1,0)</f>
        <v>0.14196292655213572</v>
      </c>
      <c r="W10" s="86">
        <f>VLOOKUP($B10,'Global Buyout'!$A$4:$S$19,W$1,0)</f>
        <v>0.23325753183827205</v>
      </c>
    </row>
    <row r="11" spans="1:25" ht="15">
      <c r="A11" s="6" t="s">
        <v>21</v>
      </c>
      <c r="B11" s="38">
        <f t="shared" si="0"/>
        <v>8</v>
      </c>
      <c r="C11" s="10" t="s">
        <v>13</v>
      </c>
      <c r="D11" s="10">
        <f t="shared" si="1"/>
        <v>2032</v>
      </c>
      <c r="E11" s="86">
        <f>VLOOKUP($B11,'Global Buyout'!$A$4:$S$19,E$1,0)</f>
        <v>-0.98544814806943715</v>
      </c>
      <c r="F11" s="86">
        <f>VLOOKUP($B11,'Global Buyout'!$A$4:$S$19,F$1,0)</f>
        <v>0.94934789942433051</v>
      </c>
      <c r="G11" s="86">
        <f>VLOOKUP($B11,'Global Buyout'!$A$4:$S$19,G$1,0)</f>
        <v>-3.6100248645106497E-2</v>
      </c>
      <c r="H11" s="86">
        <f>VLOOKUP($B11,'Global Buyout'!$A$4:$S$19,H$1,0)</f>
        <v>0.62205366612592261</v>
      </c>
      <c r="I11" s="38"/>
      <c r="J11" s="86">
        <f>VLOOKUP($B11,'Global Buyout'!$A$4:$S$19,J$1,0)</f>
        <v>-1.5587718608942085E-2</v>
      </c>
      <c r="K11" s="86">
        <f>VLOOKUP($B11,'Global Buyout'!$A$4:$S$19,K$1,0)</f>
        <v>0.24222626230600749</v>
      </c>
      <c r="L11" s="86">
        <f>VLOOKUP($B11,'Global Buyout'!$A$4:$S$19,L$1,0)</f>
        <v>0.2266385436970654</v>
      </c>
      <c r="M11" s="86">
        <f>VLOOKUP($B11,'Global Buyout'!$A$4:$S$19,M$1,0)</f>
        <v>0.62205366612592261</v>
      </c>
      <c r="O11" s="86">
        <f>VLOOKUP($B11,'Global Buyout'!$A$4:$S$19,O$1,0)</f>
        <v>0.13737404860925176</v>
      </c>
      <c r="P11" s="86">
        <f>VLOOKUP($B11,'Global Buyout'!$A$4:$S$19,P$1,0)</f>
        <v>0.23161404312420752</v>
      </c>
      <c r="Q11" s="86">
        <f>VLOOKUP($B11,'Global Buyout'!$A$4:$S$19,Q$1,0)</f>
        <v>0.26928923893026124</v>
      </c>
      <c r="R11" s="86">
        <f>VLOOKUP($B11,'Global Buyout'!$A$4:$S$19,R$1,0)</f>
        <v>0.25240623603936407</v>
      </c>
      <c r="S11" s="38"/>
      <c r="T11" s="86">
        <f>VLOOKUP($B11,'Global Buyout'!$A$4:$S$19,T$1,0)</f>
        <v>1.364241385515196E-2</v>
      </c>
      <c r="U11" s="86">
        <f>VLOOKUP($B11,'Global Buyout'!$A$4:$S$19,U$1,0)</f>
        <v>0.12157308915416112</v>
      </c>
      <c r="V11" s="86">
        <f>VLOOKUP($B11,'Global Buyout'!$A$4:$S$19,V$1,0)</f>
        <v>0.12233614127591588</v>
      </c>
      <c r="W11" s="86">
        <f>VLOOKUP($B11,'Global Buyout'!$A$4:$S$19,W$1,0)</f>
        <v>0.25240623603936407</v>
      </c>
    </row>
    <row r="12" spans="1:25" ht="15">
      <c r="A12" s="6" t="s">
        <v>21</v>
      </c>
      <c r="B12" s="38">
        <f t="shared" si="0"/>
        <v>9</v>
      </c>
      <c r="C12" s="10" t="s">
        <v>14</v>
      </c>
      <c r="D12" s="10">
        <f t="shared" si="1"/>
        <v>2033</v>
      </c>
      <c r="E12" s="86">
        <f>VLOOKUP($B12,'Global Buyout'!$A$4:$S$19,E$1,0)</f>
        <v>-0.99133125369498942</v>
      </c>
      <c r="F12" s="86">
        <f>VLOOKUP($B12,'Global Buyout'!$A$4:$S$19,F$1,0)</f>
        <v>1.147734042779661</v>
      </c>
      <c r="G12" s="86">
        <f>VLOOKUP($B12,'Global Buyout'!$A$4:$S$19,G$1,0)</f>
        <v>0.15640278908467159</v>
      </c>
      <c r="H12" s="86">
        <f>VLOOKUP($B12,'Global Buyout'!$A$4:$S$19,H$1,0)</f>
        <v>0.4928914870047667</v>
      </c>
      <c r="I12" s="38"/>
      <c r="J12" s="86">
        <f>VLOOKUP($B12,'Global Buyout'!$A$4:$S$19,J$1,0)</f>
        <v>-5.8831056255522389E-3</v>
      </c>
      <c r="K12" s="86">
        <f>VLOOKUP($B12,'Global Buyout'!$A$4:$S$19,K$1,0)</f>
        <v>0.19838614335533034</v>
      </c>
      <c r="L12" s="86">
        <f>VLOOKUP($B12,'Global Buyout'!$A$4:$S$19,L$1,0)</f>
        <v>0.19250303772977809</v>
      </c>
      <c r="M12" s="86">
        <f>VLOOKUP($B12,'Global Buyout'!$A$4:$S$19,M$1,0)</f>
        <v>0.4928914870047667</v>
      </c>
      <c r="O12" s="86">
        <f>VLOOKUP($B12,'Global Buyout'!$A$4:$S$19,O$1,0)</f>
        <v>0.13749785930195446</v>
      </c>
      <c r="P12" s="86">
        <f>VLOOKUP($B12,'Global Buyout'!$A$4:$S$19,P$1,0)</f>
        <v>0.25003305427056033</v>
      </c>
      <c r="Q12" s="86">
        <f>VLOOKUP($B12,'Global Buyout'!$A$4:$S$19,Q$1,0)</f>
        <v>0.28534573685353182</v>
      </c>
      <c r="R12" s="86">
        <f>VLOOKUP($B12,'Global Buyout'!$A$4:$S$19,R$1,0)</f>
        <v>0.26996866113057627</v>
      </c>
      <c r="S12" s="38"/>
      <c r="T12" s="86">
        <f>VLOOKUP($B12,'Global Buyout'!$A$4:$S$19,T$1,0)</f>
        <v>5.8337021969756169E-3</v>
      </c>
      <c r="U12" s="86">
        <f>VLOOKUP($B12,'Global Buyout'!$A$4:$S$19,U$1,0)</f>
        <v>9.4188445445939392E-2</v>
      </c>
      <c r="V12" s="86">
        <f>VLOOKUP($B12,'Global Buyout'!$A$4:$S$19,V$1,0)</f>
        <v>9.4368932053116403E-2</v>
      </c>
      <c r="W12" s="86">
        <f>VLOOKUP($B12,'Global Buyout'!$A$4:$S$19,W$1,0)</f>
        <v>0.26996866113057627</v>
      </c>
    </row>
    <row r="13" spans="1:25" ht="15">
      <c r="A13" s="6" t="s">
        <v>21</v>
      </c>
      <c r="B13" s="38">
        <f t="shared" si="0"/>
        <v>10</v>
      </c>
      <c r="C13" s="10" t="s">
        <v>15</v>
      </c>
      <c r="D13" s="10">
        <f t="shared" si="1"/>
        <v>2034</v>
      </c>
      <c r="E13" s="86">
        <f>VLOOKUP($B13,'Global Buyout'!$A$4:$S$19,E$1,0)</f>
        <v>-0.99542106910602524</v>
      </c>
      <c r="F13" s="86">
        <f>VLOOKUP($B13,'Global Buyout'!$A$4:$S$19,F$1,0)</f>
        <v>1.2947567172496204</v>
      </c>
      <c r="G13" s="86">
        <f>VLOOKUP($B13,'Global Buyout'!$A$4:$S$19,G$1,0)</f>
        <v>0.29933564814359515</v>
      </c>
      <c r="H13" s="86">
        <f>VLOOKUP($B13,'Global Buyout'!$A$4:$S$19,H$1,0)</f>
        <v>0.40109495981181564</v>
      </c>
      <c r="I13" s="38"/>
      <c r="J13" s="86">
        <f>VLOOKUP($B13,'Global Buyout'!$A$4:$S$19,J$1,0)</f>
        <v>-4.0898154110358027E-3</v>
      </c>
      <c r="K13" s="86">
        <f>VLOOKUP($B13,'Global Buyout'!$A$4:$S$19,K$1,0)</f>
        <v>0.14702267446995934</v>
      </c>
      <c r="L13" s="86">
        <f>VLOOKUP($B13,'Global Buyout'!$A$4:$S$19,L$1,0)</f>
        <v>0.14293285905892353</v>
      </c>
      <c r="M13" s="86">
        <f>VLOOKUP($B13,'Global Buyout'!$A$4:$S$19,M$1,0)</f>
        <v>0.40109495981181564</v>
      </c>
      <c r="O13" s="86">
        <f>VLOOKUP($B13,'Global Buyout'!$A$4:$S$19,O$1,0)</f>
        <v>0.13758569963360429</v>
      </c>
      <c r="P13" s="86">
        <f>VLOOKUP($B13,'Global Buyout'!$A$4:$S$19,P$1,0)</f>
        <v>0.26634634035839749</v>
      </c>
      <c r="Q13" s="86">
        <f>VLOOKUP($B13,'Global Buyout'!$A$4:$S$19,Q$1,0)</f>
        <v>0.29978358488412882</v>
      </c>
      <c r="R13" s="86">
        <f>VLOOKUP($B13,'Global Buyout'!$A$4:$S$19,R$1,0)</f>
        <v>0.27855749823867504</v>
      </c>
      <c r="S13" s="38"/>
      <c r="T13" s="86">
        <f>VLOOKUP($B13,'Global Buyout'!$A$4:$S$19,T$1,0)</f>
        <v>4.9156312970267645E-3</v>
      </c>
      <c r="U13" s="86">
        <f>VLOOKUP($B13,'Global Buyout'!$A$4:$S$19,U$1,0)</f>
        <v>9.1781505732071847E-2</v>
      </c>
      <c r="V13" s="86">
        <f>VLOOKUP($B13,'Global Buyout'!$A$4:$S$19,V$1,0)</f>
        <v>9.1913047090685915E-2</v>
      </c>
      <c r="W13" s="86">
        <f>VLOOKUP($B13,'Global Buyout'!$A$4:$S$19,W$1,0)</f>
        <v>0.27855749823867504</v>
      </c>
    </row>
    <row r="14" spans="1:25" ht="15">
      <c r="A14" s="6" t="s">
        <v>21</v>
      </c>
      <c r="B14" s="38">
        <f t="shared" si="0"/>
        <v>11</v>
      </c>
      <c r="C14" s="10" t="s">
        <v>16</v>
      </c>
      <c r="D14" s="10">
        <f t="shared" si="1"/>
        <v>2035</v>
      </c>
      <c r="E14" s="86">
        <f>VLOOKUP($B14,'Global Buyout'!$A$4:$S$19,E$1,0)</f>
        <v>-0.99813878237013021</v>
      </c>
      <c r="F14" s="86">
        <f>VLOOKUP($B14,'Global Buyout'!$A$4:$S$19,F$1,0)</f>
        <v>1.4468900227881476</v>
      </c>
      <c r="G14" s="86">
        <f>VLOOKUP($B14,'Global Buyout'!$A$4:$S$19,G$1,0)</f>
        <v>0.44875124041801751</v>
      </c>
      <c r="H14" s="86">
        <f>VLOOKUP($B14,'Global Buyout'!$A$4:$S$19,H$1,0)</f>
        <v>0.30114430709292661</v>
      </c>
      <c r="I14" s="38"/>
      <c r="J14" s="86">
        <f>VLOOKUP($B14,'Global Buyout'!$A$4:$S$19,J$1,0)</f>
        <v>-2.7177132641049324E-3</v>
      </c>
      <c r="K14" s="86">
        <f>VLOOKUP($B14,'Global Buyout'!$A$4:$S$19,K$1,0)</f>
        <v>0.15213330553852733</v>
      </c>
      <c r="L14" s="86">
        <f>VLOOKUP($B14,'Global Buyout'!$A$4:$S$19,L$1,0)</f>
        <v>0.14941559227442239</v>
      </c>
      <c r="M14" s="86">
        <f>VLOOKUP($B14,'Global Buyout'!$A$4:$S$19,M$1,0)</f>
        <v>0.30114430709292661</v>
      </c>
      <c r="O14" s="86">
        <f>VLOOKUP($B14,'Global Buyout'!$A$4:$S$19,O$1,0)</f>
        <v>0.13762888054764572</v>
      </c>
      <c r="P14" s="86">
        <f>VLOOKUP($B14,'Global Buyout'!$A$4:$S$19,P$1,0)</f>
        <v>0.28483521839422238</v>
      </c>
      <c r="Q14" s="86">
        <f>VLOOKUP($B14,'Global Buyout'!$A$4:$S$19,Q$1,0)</f>
        <v>0.3163428684172957</v>
      </c>
      <c r="R14" s="86">
        <f>VLOOKUP($B14,'Global Buyout'!$A$4:$S$19,R$1,0)</f>
        <v>0.28667330632033233</v>
      </c>
      <c r="S14" s="38"/>
      <c r="T14" s="86">
        <f>VLOOKUP($B14,'Global Buyout'!$A$4:$S$19,T$1,0)</f>
        <v>3.4473202824443897E-3</v>
      </c>
      <c r="U14" s="86">
        <f>VLOOKUP($B14,'Global Buyout'!$A$4:$S$19,U$1,0)</f>
        <v>0.10094913875498417</v>
      </c>
      <c r="V14" s="86">
        <f>VLOOKUP($B14,'Global Buyout'!$A$4:$S$19,V$1,0)</f>
        <v>0.10100798301373411</v>
      </c>
      <c r="W14" s="86">
        <f>VLOOKUP($B14,'Global Buyout'!$A$4:$S$19,W$1,0)</f>
        <v>0.28667330632033233</v>
      </c>
    </row>
    <row r="15" spans="1:25" ht="15">
      <c r="A15" s="6" t="s">
        <v>21</v>
      </c>
      <c r="B15" s="38">
        <f t="shared" si="0"/>
        <v>12</v>
      </c>
      <c r="C15" s="10" t="s">
        <v>17</v>
      </c>
      <c r="D15" s="10">
        <f t="shared" si="1"/>
        <v>2036</v>
      </c>
      <c r="E15" s="86">
        <f>VLOOKUP($B15,'Global Buyout'!$A$4:$S$19,E$1,0)</f>
        <v>-0.99963472963548261</v>
      </c>
      <c r="F15" s="86">
        <f>VLOOKUP($B15,'Global Buyout'!$A$4:$S$19,F$1,0)</f>
        <v>1.5292319723987573</v>
      </c>
      <c r="G15" s="86">
        <f>VLOOKUP($B15,'Global Buyout'!$A$4:$S$19,G$1,0)</f>
        <v>0.52959724276327491</v>
      </c>
      <c r="H15" s="86">
        <f>VLOOKUP($B15,'Global Buyout'!$A$4:$S$19,H$1,0)</f>
        <v>0.2312964551053131</v>
      </c>
      <c r="I15" s="38"/>
      <c r="J15" s="86">
        <f>VLOOKUP($B15,'Global Buyout'!$A$4:$S$19,J$1,0)</f>
        <v>-1.4959472653523595E-3</v>
      </c>
      <c r="K15" s="86">
        <f>VLOOKUP($B15,'Global Buyout'!$A$4:$S$19,K$1,0)</f>
        <v>8.2341949610609727E-2</v>
      </c>
      <c r="L15" s="86">
        <f>VLOOKUP($B15,'Global Buyout'!$A$4:$S$19,L$1,0)</f>
        <v>8.0846002345257365E-2</v>
      </c>
      <c r="M15" s="86">
        <f>VLOOKUP($B15,'Global Buyout'!$A$4:$S$19,M$1,0)</f>
        <v>0.2312964551053131</v>
      </c>
      <c r="O15" s="86">
        <f>VLOOKUP($B15,'Global Buyout'!$A$4:$S$19,O$1,0)</f>
        <v>0.1376550181278528</v>
      </c>
      <c r="P15" s="86">
        <f>VLOOKUP($B15,'Global Buyout'!$A$4:$S$19,P$1,0)</f>
        <v>0.28989953132478691</v>
      </c>
      <c r="Q15" s="86">
        <f>VLOOKUP($B15,'Global Buyout'!$A$4:$S$19,Q$1,0)</f>
        <v>0.32092155159495056</v>
      </c>
      <c r="R15" s="86">
        <f>VLOOKUP($B15,'Global Buyout'!$A$4:$S$19,R$1,0)</f>
        <v>0.28970275261077283</v>
      </c>
      <c r="S15" s="38"/>
      <c r="T15" s="86">
        <f>VLOOKUP($B15,'Global Buyout'!$A$4:$S$19,T$1,0)</f>
        <v>2.6823972452538246E-3</v>
      </c>
      <c r="U15" s="86">
        <f>VLOOKUP($B15,'Global Buyout'!$A$4:$S$19,U$1,0)</f>
        <v>5.3950316260859256E-2</v>
      </c>
      <c r="V15" s="86">
        <f>VLOOKUP($B15,'Global Buyout'!$A$4:$S$19,V$1,0)</f>
        <v>5.4016959185315863E-2</v>
      </c>
      <c r="W15" s="86">
        <f>VLOOKUP($B15,'Global Buyout'!$A$4:$S$19,W$1,0)</f>
        <v>0.28970275261077283</v>
      </c>
    </row>
    <row r="16" spans="1:25" ht="15">
      <c r="A16" s="6" t="s">
        <v>21</v>
      </c>
      <c r="B16" s="38">
        <f t="shared" si="0"/>
        <v>13</v>
      </c>
      <c r="C16" s="10" t="s">
        <v>18</v>
      </c>
      <c r="D16" s="10">
        <f t="shared" si="1"/>
        <v>2037</v>
      </c>
      <c r="E16" s="86">
        <f>VLOOKUP($B16,'Global Buyout'!$A$4:$S$19,E$1,0)</f>
        <v>-1.0007195623893157</v>
      </c>
      <c r="F16" s="86">
        <f>VLOOKUP($B16,'Global Buyout'!$A$4:$S$19,F$1,0)</f>
        <v>1.5929652114337316</v>
      </c>
      <c r="G16" s="86">
        <f>VLOOKUP($B16,'Global Buyout'!$A$4:$S$19,G$1,0)</f>
        <v>0.59224564904441612</v>
      </c>
      <c r="H16" s="86">
        <f>VLOOKUP($B16,'Global Buyout'!$A$4:$S$19,H$1,0)</f>
        <v>0.17915682523858348</v>
      </c>
      <c r="I16" s="38"/>
      <c r="J16" s="86">
        <f>VLOOKUP($B16,'Global Buyout'!$A$4:$S$19,J$1,0)</f>
        <v>-1.0848327538331511E-3</v>
      </c>
      <c r="K16" s="86">
        <f>VLOOKUP($B16,'Global Buyout'!$A$4:$S$19,K$1,0)</f>
        <v>6.373323903497434E-2</v>
      </c>
      <c r="L16" s="86">
        <f>VLOOKUP($B16,'Global Buyout'!$A$4:$S$19,L$1,0)</f>
        <v>6.2648406281141183E-2</v>
      </c>
      <c r="M16" s="86">
        <f>VLOOKUP($B16,'Global Buyout'!$A$4:$S$19,M$1,0)</f>
        <v>0.17915682523858348</v>
      </c>
      <c r="O16" s="86">
        <f>VLOOKUP($B16,'Global Buyout'!$A$4:$S$19,O$1,0)</f>
        <v>0.13767405684390091</v>
      </c>
      <c r="P16" s="86">
        <f>VLOOKUP($B16,'Global Buyout'!$A$4:$S$19,P$1,0)</f>
        <v>0.29485904515335148</v>
      </c>
      <c r="Q16" s="86">
        <f>VLOOKUP($B16,'Global Buyout'!$A$4:$S$19,Q$1,0)</f>
        <v>0.32541665974040684</v>
      </c>
      <c r="R16" s="86">
        <f>VLOOKUP($B16,'Global Buyout'!$A$4:$S$19,R$1,0)</f>
        <v>0.29196589583532034</v>
      </c>
      <c r="S16" s="38"/>
      <c r="T16" s="86">
        <f>VLOOKUP($B16,'Global Buyout'!$A$4:$S$19,T$1,0)</f>
        <v>2.2895222379730237E-3</v>
      </c>
      <c r="U16" s="86">
        <f>VLOOKUP($B16,'Global Buyout'!$A$4:$S$19,U$1,0)</f>
        <v>5.3852745950555281E-2</v>
      </c>
      <c r="V16" s="86">
        <f>VLOOKUP($B16,'Global Buyout'!$A$4:$S$19,V$1,0)</f>
        <v>5.3901392917931362E-2</v>
      </c>
      <c r="W16" s="86">
        <f>VLOOKUP($B16,'Global Buyout'!$A$4:$S$19,W$1,0)</f>
        <v>0.29196589583532034</v>
      </c>
    </row>
    <row r="17" spans="1:27" ht="15">
      <c r="A17" s="6" t="s">
        <v>21</v>
      </c>
      <c r="B17" s="38">
        <f t="shared" si="0"/>
        <v>14</v>
      </c>
      <c r="C17" s="10" t="s">
        <v>19</v>
      </c>
      <c r="D17" s="10">
        <f t="shared" si="1"/>
        <v>2038</v>
      </c>
      <c r="E17" s="86">
        <f>VLOOKUP($B17,'Global Buyout'!$A$4:$S$19,E$1,0)</f>
        <v>-1.0008107593016471</v>
      </c>
      <c r="F17" s="86">
        <f>VLOOKUP($B17,'Global Buyout'!$A$4:$S$19,F$1,0)</f>
        <v>1.6260220192344224</v>
      </c>
      <c r="G17" s="86">
        <f>VLOOKUP($B17,'Global Buyout'!$A$4:$S$19,G$1,0)</f>
        <v>0.6252112599327756</v>
      </c>
      <c r="H17" s="86">
        <f>VLOOKUP($B17,'Global Buyout'!$A$4:$S$19,H$1,0)</f>
        <v>0.15463364036165575</v>
      </c>
      <c r="I17" s="38"/>
      <c r="J17" s="86">
        <f>VLOOKUP($B17,'Global Buyout'!$A$4:$S$19,J$1,0)</f>
        <v>-9.119691233139271E-5</v>
      </c>
      <c r="K17" s="86">
        <f>VLOOKUP($B17,'Global Buyout'!$A$4:$S$19,K$1,0)</f>
        <v>3.3056807800690854E-2</v>
      </c>
      <c r="L17" s="86">
        <f>VLOOKUP($B17,'Global Buyout'!$A$4:$S$19,L$1,0)</f>
        <v>3.2965610888359462E-2</v>
      </c>
      <c r="M17" s="86">
        <f>VLOOKUP($B17,'Global Buyout'!$A$4:$S$19,M$1,0)</f>
        <v>0.15463364036165575</v>
      </c>
      <c r="O17" s="86">
        <f>VLOOKUP($B17,'Global Buyout'!$A$4:$S$19,O$1,0)</f>
        <v>0.1376747014494871</v>
      </c>
      <c r="P17" s="86">
        <f>VLOOKUP($B17,'Global Buyout'!$A$4:$S$19,P$1,0)</f>
        <v>0.29738636713744898</v>
      </c>
      <c r="Q17" s="86">
        <f>VLOOKUP($B17,'Global Buyout'!$A$4:$S$19,Q$1,0)</f>
        <v>0.32770867363927808</v>
      </c>
      <c r="R17" s="86">
        <f>VLOOKUP($B17,'Global Buyout'!$A$4:$S$19,R$1,0)</f>
        <v>0.29242258823419409</v>
      </c>
      <c r="S17" s="38"/>
      <c r="T17" s="86">
        <f>VLOOKUP($B17,'Global Buyout'!$A$4:$S$19,T$1,0)</f>
        <v>4.2129722019483947E-4</v>
      </c>
      <c r="U17" s="86">
        <f>VLOOKUP($B17,'Global Buyout'!$A$4:$S$19,U$1,0)</f>
        <v>3.8688433031894835E-2</v>
      </c>
      <c r="V17" s="86">
        <f>VLOOKUP($B17,'Global Buyout'!$A$4:$S$19,V$1,0)</f>
        <v>3.8690726819370497E-2</v>
      </c>
      <c r="W17" s="86">
        <f>VLOOKUP($B17,'Global Buyout'!$A$4:$S$19,W$1,0)</f>
        <v>0.29242258823419409</v>
      </c>
    </row>
    <row r="18" spans="1:27" ht="15">
      <c r="A18" s="6" t="s">
        <v>21</v>
      </c>
      <c r="B18" s="38">
        <f t="shared" si="0"/>
        <v>15</v>
      </c>
      <c r="C18" s="10" t="s">
        <v>20</v>
      </c>
      <c r="D18" s="10">
        <f t="shared" si="1"/>
        <v>2039</v>
      </c>
      <c r="E18" s="86">
        <f>VLOOKUP($B18,'Global Buyout'!$A$4:$S$19,E$1,0)</f>
        <v>-1.0012031511850734</v>
      </c>
      <c r="F18" s="86">
        <f>VLOOKUP($B18,'Global Buyout'!$A$4:$S$19,F$1,0)</f>
        <v>1.6563195202772545</v>
      </c>
      <c r="G18" s="86">
        <f>VLOOKUP($B18,'Global Buyout'!$A$4:$S$19,G$1,0)</f>
        <v>0.65511636909218152</v>
      </c>
      <c r="H18" s="86">
        <f>VLOOKUP($B18,'Global Buyout'!$A$4:$S$19,H$1,0)</f>
        <v>0.14093299450011518</v>
      </c>
      <c r="I18" s="38"/>
      <c r="J18" s="86">
        <f>VLOOKUP($B18,'Global Buyout'!$A$4:$S$19,J$1,0)</f>
        <v>-3.9239188342627329E-4</v>
      </c>
      <c r="K18" s="86">
        <f>VLOOKUP($B18,'Global Buyout'!$A$4:$S$19,K$1,0)</f>
        <v>3.0297501042832176E-2</v>
      </c>
      <c r="L18" s="86">
        <f>VLOOKUP($B18,'Global Buyout'!$A$4:$S$19,L$1,0)</f>
        <v>2.9905109159405904E-2</v>
      </c>
      <c r="M18" s="86">
        <f>VLOOKUP($B18,'Global Buyout'!$A$4:$S$19,M$1,0)</f>
        <v>0.14093299450011518</v>
      </c>
      <c r="O18" s="86">
        <f>VLOOKUP($B18,'Global Buyout'!$A$4:$S$19,O$1,0)</f>
        <v>0.13767792208460541</v>
      </c>
      <c r="P18" s="86">
        <f>VLOOKUP($B18,'Global Buyout'!$A$4:$S$19,P$1,0)</f>
        <v>0.29965017147776307</v>
      </c>
      <c r="Q18" s="86">
        <f>VLOOKUP($B18,'Global Buyout'!$A$4:$S$19,Q$1,0)</f>
        <v>0.32976572820138139</v>
      </c>
      <c r="R18" s="86">
        <f>VLOOKUP($B18,'Global Buyout'!$A$4:$S$19,R$1,0)</f>
        <v>0.29284388683761714</v>
      </c>
      <c r="S18" s="38"/>
      <c r="T18" s="86">
        <f>VLOOKUP($B18,'Global Buyout'!$A$4:$S$19,T$1,0)</f>
        <v>9.4170607371451751E-4</v>
      </c>
      <c r="U18" s="86">
        <f>VLOOKUP($B18,'Global Buyout'!$A$4:$S$19,U$1,0)</f>
        <v>3.67637580701866E-2</v>
      </c>
      <c r="V18" s="86">
        <f>VLOOKUP($B18,'Global Buyout'!$A$4:$S$19,V$1,0)</f>
        <v>3.677581702386068E-2</v>
      </c>
      <c r="W18" s="86">
        <f>VLOOKUP($B18,'Global Buyout'!$A$4:$S$19,W$1,0)</f>
        <v>0.29284388683761714</v>
      </c>
      <c r="Y18" s="94">
        <f>SUM(H18,F18)/-E18</f>
        <v>1.7950927468117264</v>
      </c>
      <c r="Z18" s="94">
        <f>SUM(M18,K4:K18)/-SUM(J4:J18)</f>
        <v>1.7950927468117261</v>
      </c>
      <c r="AA18" t="b">
        <f>Y18=Z18</f>
        <v>1</v>
      </c>
    </row>
    <row r="19" spans="1:27" s="6" customFormat="1" ht="15">
      <c r="B19" s="38"/>
      <c r="E19" s="12"/>
      <c r="F19" s="12"/>
      <c r="G19" s="12"/>
      <c r="H19" s="12"/>
      <c r="J19" s="28"/>
      <c r="K19" s="28"/>
      <c r="L19" s="86"/>
      <c r="M19" s="28"/>
      <c r="N19" s="52"/>
      <c r="O19" s="28"/>
      <c r="P19" s="28"/>
      <c r="Q19" s="28"/>
      <c r="R19" s="28"/>
    </row>
    <row r="20" spans="1:27" ht="15">
      <c r="A20" s="6" t="s">
        <v>27</v>
      </c>
      <c r="B20" s="38">
        <v>1</v>
      </c>
      <c r="C20" s="10" t="s">
        <v>6</v>
      </c>
      <c r="D20" s="10">
        <f>D4</f>
        <v>2025</v>
      </c>
      <c r="E20" s="86">
        <f>VLOOKUP($B20,'Global Growth Equity'!$A$4:$S$19,E$1,0)</f>
        <v>-0.2353497969113901</v>
      </c>
      <c r="F20" s="86">
        <f>VLOOKUP($B20,'Global Growth Equity'!$A$4:$S$19,F$1,0)</f>
        <v>0</v>
      </c>
      <c r="G20" s="86">
        <f>VLOOKUP($B20,'Global Growth Equity'!$A$4:$S$19,G$1,0)</f>
        <v>-0.2353497969113901</v>
      </c>
      <c r="H20" s="86">
        <f>VLOOKUP($B20,'Global Growth Equity'!$A$4:$S$19,H$1,0)</f>
        <v>0.21842406647657397</v>
      </c>
      <c r="I20" s="38"/>
      <c r="J20" s="86">
        <f>VLOOKUP($B20,'Global Growth Equity'!$A$4:$S$19,J$1,0)</f>
        <v>-0.2353497969113901</v>
      </c>
      <c r="K20" s="86">
        <f>VLOOKUP($B20,'Global Growth Equity'!$A$4:$S$19,K$1,0)</f>
        <v>0</v>
      </c>
      <c r="L20" s="86">
        <f>VLOOKUP($B20,'Global Growth Equity'!$A$4:$S$19,L$1,0)</f>
        <v>-0.2353497969113901</v>
      </c>
      <c r="M20" s="86">
        <f>VLOOKUP($B20,'Global Growth Equity'!$A$4:$S$19,M$1,0)</f>
        <v>0.21842406647657397</v>
      </c>
      <c r="O20" s="86">
        <f>VLOOKUP($B20,'Global Growth Equity'!$A$4:$S$19,O$1,0)</f>
        <v>8.9701164861965513E-2</v>
      </c>
      <c r="P20" s="86">
        <f>VLOOKUP($B20,'Global Growth Equity'!$A$4:$S$19,P$1,0)</f>
        <v>0</v>
      </c>
      <c r="Q20" s="86">
        <f>VLOOKUP($B20,'Global Growth Equity'!$A$4:$S$19,Q$1,0)</f>
        <v>8.9701164861965513E-2</v>
      </c>
      <c r="R20" s="86">
        <f>VLOOKUP($B20,'Global Growth Equity'!$A$4:$S$19,R$1,0)</f>
        <v>8.8806226366925409E-2</v>
      </c>
      <c r="S20" s="38"/>
      <c r="T20" s="86">
        <f>VLOOKUP($B20,'Global Growth Equity'!$A$4:$S$19,T$1,0)</f>
        <v>8.5498310197364896E-2</v>
      </c>
      <c r="U20" s="86">
        <f>VLOOKUP($B20,'Global Growth Equity'!$A$4:$S$19,U$1,0)</f>
        <v>0</v>
      </c>
      <c r="V20" s="86">
        <f>VLOOKUP($B20,'Global Growth Equity'!$A$4:$S$19,V$1,0)</f>
        <v>8.5498310197364896E-2</v>
      </c>
      <c r="W20" s="86">
        <f>VLOOKUP($B20,'Global Growth Equity'!$A$4:$S$19,W$1,0)</f>
        <v>8.8806226366925409E-2</v>
      </c>
    </row>
    <row r="21" spans="1:27" ht="15">
      <c r="A21" s="6" t="s">
        <v>27</v>
      </c>
      <c r="B21" s="38">
        <f>B20+1</f>
        <v>2</v>
      </c>
      <c r="C21" s="10" t="s">
        <v>7</v>
      </c>
      <c r="D21" s="10">
        <f t="shared" ref="D21:D34" si="2">D5</f>
        <v>2026</v>
      </c>
      <c r="E21" s="86">
        <f>VLOOKUP($B21,'Global Growth Equity'!$A$4:$S$19,E$1,0)</f>
        <v>-0.47043253934800244</v>
      </c>
      <c r="F21" s="86">
        <f>VLOOKUP($B21,'Global Growth Equity'!$A$4:$S$19,F$1,0)</f>
        <v>2.4311021803399851E-4</v>
      </c>
      <c r="G21" s="86">
        <f>VLOOKUP($B21,'Global Growth Equity'!$A$4:$S$19,G$1,0)</f>
        <v>-0.47018942912996842</v>
      </c>
      <c r="H21" s="86">
        <f>VLOOKUP($B21,'Global Growth Equity'!$A$4:$S$19,H$1,0)</f>
        <v>0.45579694753502209</v>
      </c>
      <c r="I21" s="38"/>
      <c r="J21" s="86">
        <f>VLOOKUP($B21,'Global Growth Equity'!$A$4:$S$19,J$1,0)</f>
        <v>-0.23508274243661231</v>
      </c>
      <c r="K21" s="86">
        <f>VLOOKUP($B21,'Global Growth Equity'!$A$4:$S$19,K$1,0)</f>
        <v>2.4311021803399851E-4</v>
      </c>
      <c r="L21" s="86">
        <f>VLOOKUP($B21,'Global Growth Equity'!$A$4:$S$19,L$1,0)</f>
        <v>-0.23483963221857831</v>
      </c>
      <c r="M21" s="86">
        <f>VLOOKUP($B21,'Global Growth Equity'!$A$4:$S$19,M$1,0)</f>
        <v>0.45579694753502209</v>
      </c>
      <c r="O21" s="86">
        <f>VLOOKUP($B21,'Global Growth Equity'!$A$4:$S$19,O$1,0)</f>
        <v>0.11079509492097546</v>
      </c>
      <c r="P21" s="86">
        <f>VLOOKUP($B21,'Global Growth Equity'!$A$4:$S$19,P$1,0)</f>
        <v>1.190991970880123E-3</v>
      </c>
      <c r="Q21" s="86">
        <f>VLOOKUP($B21,'Global Growth Equity'!$A$4:$S$19,Q$1,0)</f>
        <v>0.11080149602068856</v>
      </c>
      <c r="R21" s="86">
        <f>VLOOKUP($B21,'Global Growth Equity'!$A$4:$S$19,R$1,0)</f>
        <v>0.11935406621384133</v>
      </c>
      <c r="S21" s="38"/>
      <c r="T21" s="86">
        <f>VLOOKUP($B21,'Global Growth Equity'!$A$4:$S$19,T$1,0)</f>
        <v>6.5032715466559171E-2</v>
      </c>
      <c r="U21" s="86">
        <f>VLOOKUP($B21,'Global Growth Equity'!$A$4:$S$19,U$1,0)</f>
        <v>1.190991970880123E-3</v>
      </c>
      <c r="V21" s="86">
        <f>VLOOKUP($B21,'Global Growth Equity'!$A$4:$S$19,V$1,0)</f>
        <v>6.5043620308444905E-2</v>
      </c>
      <c r="W21" s="86">
        <f>VLOOKUP($B21,'Global Growth Equity'!$A$4:$S$19,W$1,0)</f>
        <v>0.11935406621384133</v>
      </c>
    </row>
    <row r="22" spans="1:27" ht="15">
      <c r="A22" s="6" t="s">
        <v>27</v>
      </c>
      <c r="B22" s="38">
        <f t="shared" ref="B22:B34" si="3">B21+1</f>
        <v>3</v>
      </c>
      <c r="C22" s="10" t="s">
        <v>8</v>
      </c>
      <c r="D22" s="10">
        <f t="shared" si="2"/>
        <v>2027</v>
      </c>
      <c r="E22" s="86">
        <f>VLOOKUP($B22,'Global Growth Equity'!$A$4:$S$19,E$1,0)</f>
        <v>-0.69057850665108322</v>
      </c>
      <c r="F22" s="86">
        <f>VLOOKUP($B22,'Global Growth Equity'!$A$4:$S$19,F$1,0)</f>
        <v>1.1903642520014652E-2</v>
      </c>
      <c r="G22" s="86">
        <f>VLOOKUP($B22,'Global Growth Equity'!$A$4:$S$19,G$1,0)</f>
        <v>-0.67867486413106848</v>
      </c>
      <c r="H22" s="86">
        <f>VLOOKUP($B22,'Global Growth Equity'!$A$4:$S$19,H$1,0)</f>
        <v>0.69115781699755185</v>
      </c>
      <c r="I22" s="38"/>
      <c r="J22" s="86">
        <f>VLOOKUP($B22,'Global Growth Equity'!$A$4:$S$19,J$1,0)</f>
        <v>-0.22014596730308073</v>
      </c>
      <c r="K22" s="86">
        <f>VLOOKUP($B22,'Global Growth Equity'!$A$4:$S$19,K$1,0)</f>
        <v>1.1660532301980654E-2</v>
      </c>
      <c r="L22" s="86">
        <f>VLOOKUP($B22,'Global Growth Equity'!$A$4:$S$19,L$1,0)</f>
        <v>-0.20848543500110006</v>
      </c>
      <c r="M22" s="86">
        <f>VLOOKUP($B22,'Global Growth Equity'!$A$4:$S$19,M$1,0)</f>
        <v>0.69115781699755185</v>
      </c>
      <c r="O22" s="86">
        <f>VLOOKUP($B22,'Global Growth Equity'!$A$4:$S$19,O$1,0)</f>
        <v>0.13942613235905257</v>
      </c>
      <c r="P22" s="86">
        <f>VLOOKUP($B22,'Global Growth Equity'!$A$4:$S$19,P$1,0)</f>
        <v>1.547971814765558E-2</v>
      </c>
      <c r="Q22" s="86">
        <f>VLOOKUP($B22,'Global Growth Equity'!$A$4:$S$19,Q$1,0)</f>
        <v>0.14028281455165811</v>
      </c>
      <c r="R22" s="86">
        <f>VLOOKUP($B22,'Global Growth Equity'!$A$4:$S$19,R$1,0)</f>
        <v>0.17394610920239312</v>
      </c>
      <c r="S22" s="38"/>
      <c r="T22" s="86">
        <f>VLOOKUP($B22,'Global Growth Equity'!$A$4:$S$19,T$1,0)</f>
        <v>8.4640967185258958E-2</v>
      </c>
      <c r="U22" s="86">
        <f>VLOOKUP($B22,'Global Growth Equity'!$A$4:$S$19,U$1,0)</f>
        <v>1.5433833355850276E-2</v>
      </c>
      <c r="V22" s="86">
        <f>VLOOKUP($B22,'Global Growth Equity'!$A$4:$S$19,V$1,0)</f>
        <v>8.6036599991586374E-2</v>
      </c>
      <c r="W22" s="86">
        <f>VLOOKUP($B22,'Global Growth Equity'!$A$4:$S$19,W$1,0)</f>
        <v>0.17394610920239312</v>
      </c>
    </row>
    <row r="23" spans="1:27" ht="15">
      <c r="A23" s="6" t="s">
        <v>27</v>
      </c>
      <c r="B23" s="38">
        <f t="shared" si="3"/>
        <v>4</v>
      </c>
      <c r="C23" s="10" t="s">
        <v>9</v>
      </c>
      <c r="D23" s="10">
        <f t="shared" si="2"/>
        <v>2028</v>
      </c>
      <c r="E23" s="86">
        <f>VLOOKUP($B23,'Global Growth Equity'!$A$4:$S$19,E$1,0)</f>
        <v>-0.85917011280776123</v>
      </c>
      <c r="F23" s="86">
        <f>VLOOKUP($B23,'Global Growth Equity'!$A$4:$S$19,F$1,0)</f>
        <v>6.3652187468319119E-2</v>
      </c>
      <c r="G23" s="86">
        <f>VLOOKUP($B23,'Global Growth Equity'!$A$4:$S$19,G$1,0)</f>
        <v>-0.79551792533944199</v>
      </c>
      <c r="H23" s="86">
        <f>VLOOKUP($B23,'Global Growth Equity'!$A$4:$S$19,H$1,0)</f>
        <v>0.89104810392352918</v>
      </c>
      <c r="I23" s="38"/>
      <c r="J23" s="86">
        <f>VLOOKUP($B23,'Global Growth Equity'!$A$4:$S$19,J$1,0)</f>
        <v>-0.16859160615667801</v>
      </c>
      <c r="K23" s="86">
        <f>VLOOKUP($B23,'Global Growth Equity'!$A$4:$S$19,K$1,0)</f>
        <v>5.1748544948304463E-2</v>
      </c>
      <c r="L23" s="86">
        <f>VLOOKUP($B23,'Global Growth Equity'!$A$4:$S$19,L$1,0)</f>
        <v>-0.11684306120837354</v>
      </c>
      <c r="M23" s="86">
        <f>VLOOKUP($B23,'Global Growth Equity'!$A$4:$S$19,M$1,0)</f>
        <v>0.89104810392352918</v>
      </c>
      <c r="O23" s="86">
        <f>VLOOKUP($B23,'Global Growth Equity'!$A$4:$S$19,O$1,0)</f>
        <v>0.15183576900330459</v>
      </c>
      <c r="P23" s="86">
        <f>VLOOKUP($B23,'Global Growth Equity'!$A$4:$S$19,P$1,0)</f>
        <v>3.9524195350102202E-2</v>
      </c>
      <c r="Q23" s="86">
        <f>VLOOKUP($B23,'Global Growth Equity'!$A$4:$S$19,Q$1,0)</f>
        <v>0.15689570665540184</v>
      </c>
      <c r="R23" s="86">
        <f>VLOOKUP($B23,'Global Growth Equity'!$A$4:$S$19,R$1,0)</f>
        <v>0.21929015152126927</v>
      </c>
      <c r="S23" s="38"/>
      <c r="T23" s="86">
        <f>VLOOKUP($B23,'Global Growth Equity'!$A$4:$S$19,T$1,0)</f>
        <v>6.0120332369513925E-2</v>
      </c>
      <c r="U23" s="86">
        <f>VLOOKUP($B23,'Global Growth Equity'!$A$4:$S$19,U$1,0)</f>
        <v>3.6366747780660603E-2</v>
      </c>
      <c r="V23" s="86">
        <f>VLOOKUP($B23,'Global Growth Equity'!$A$4:$S$19,V$1,0)</f>
        <v>7.026375102684887E-2</v>
      </c>
      <c r="W23" s="86">
        <f>VLOOKUP($B23,'Global Growth Equity'!$A$4:$S$19,W$1,0)</f>
        <v>0.21929015152126927</v>
      </c>
    </row>
    <row r="24" spans="1:27" ht="15">
      <c r="A24" s="6" t="s">
        <v>27</v>
      </c>
      <c r="B24" s="38">
        <f t="shared" si="3"/>
        <v>5</v>
      </c>
      <c r="C24" s="10" t="s">
        <v>10</v>
      </c>
      <c r="D24" s="10">
        <f t="shared" si="2"/>
        <v>2029</v>
      </c>
      <c r="E24" s="86">
        <f>VLOOKUP($B24,'Global Growth Equity'!$A$4:$S$19,E$1,0)</f>
        <v>-0.95461169522112799</v>
      </c>
      <c r="F24" s="86">
        <f>VLOOKUP($B24,'Global Growth Equity'!$A$4:$S$19,F$1,0)</f>
        <v>0.1585825594050827</v>
      </c>
      <c r="G24" s="86">
        <f>VLOOKUP($B24,'Global Growth Equity'!$A$4:$S$19,G$1,0)</f>
        <v>-0.79602913581604517</v>
      </c>
      <c r="H24" s="86">
        <f>VLOOKUP($B24,'Global Growth Equity'!$A$4:$S$19,H$1,0)</f>
        <v>0.96836952603965309</v>
      </c>
      <c r="I24" s="38"/>
      <c r="J24" s="86">
        <f>VLOOKUP($B24,'Global Growth Equity'!$A$4:$S$19,J$1,0)</f>
        <v>-9.5441582413366713E-2</v>
      </c>
      <c r="K24" s="86">
        <f>VLOOKUP($B24,'Global Growth Equity'!$A$4:$S$19,K$1,0)</f>
        <v>9.4930371936763569E-2</v>
      </c>
      <c r="L24" s="86">
        <f>VLOOKUP($B24,'Global Growth Equity'!$A$4:$S$19,L$1,0)</f>
        <v>-5.1121047660314389E-4</v>
      </c>
      <c r="M24" s="86">
        <f>VLOOKUP($B24,'Global Growth Equity'!$A$4:$S$19,M$1,0)</f>
        <v>0.96836952603965309</v>
      </c>
      <c r="O24" s="86">
        <f>VLOOKUP($B24,'Global Growth Equity'!$A$4:$S$19,O$1,0)</f>
        <v>0.15897928327849437</v>
      </c>
      <c r="P24" s="86">
        <f>VLOOKUP($B24,'Global Growth Equity'!$A$4:$S$19,P$1,0)</f>
        <v>6.9805567659439613E-2</v>
      </c>
      <c r="Q24" s="86">
        <f>VLOOKUP($B24,'Global Growth Equity'!$A$4:$S$19,Q$1,0)</f>
        <v>0.17362957636301588</v>
      </c>
      <c r="R24" s="86">
        <f>VLOOKUP($B24,'Global Growth Equity'!$A$4:$S$19,R$1,0)</f>
        <v>0.25121056532644426</v>
      </c>
      <c r="S24" s="38"/>
      <c r="T24" s="86">
        <f>VLOOKUP($B24,'Global Growth Equity'!$A$4:$S$19,T$1,0)</f>
        <v>4.7120184241139056E-2</v>
      </c>
      <c r="U24" s="86">
        <f>VLOOKUP($B24,'Global Growth Equity'!$A$4:$S$19,U$1,0)</f>
        <v>5.7538293841437119E-2</v>
      </c>
      <c r="V24" s="86">
        <f>VLOOKUP($B24,'Global Growth Equity'!$A$4:$S$19,V$1,0)</f>
        <v>7.4370471432568253E-2</v>
      </c>
      <c r="W24" s="86">
        <f>VLOOKUP($B24,'Global Growth Equity'!$A$4:$S$19,W$1,0)</f>
        <v>0.25121056532644426</v>
      </c>
    </row>
    <row r="25" spans="1:27" ht="15">
      <c r="A25" s="6" t="s">
        <v>27</v>
      </c>
      <c r="B25" s="38">
        <f t="shared" si="3"/>
        <v>6</v>
      </c>
      <c r="C25" s="10" t="s">
        <v>11</v>
      </c>
      <c r="D25" s="10">
        <f t="shared" si="2"/>
        <v>2030</v>
      </c>
      <c r="E25" s="86">
        <f>VLOOKUP($B25,'Global Growth Equity'!$A$4:$S$19,E$1,0)</f>
        <v>-1.0132749638996081</v>
      </c>
      <c r="F25" s="86">
        <f>VLOOKUP($B25,'Global Growth Equity'!$A$4:$S$19,F$1,0)</f>
        <v>0.32159416440619154</v>
      </c>
      <c r="G25" s="86">
        <f>VLOOKUP($B25,'Global Growth Equity'!$A$4:$S$19,G$1,0)</f>
        <v>-0.69168079949341654</v>
      </c>
      <c r="H25" s="86">
        <f>VLOOKUP($B25,'Global Growth Equity'!$A$4:$S$19,H$1,0)</f>
        <v>0.98365813017385761</v>
      </c>
      <c r="I25" s="38"/>
      <c r="J25" s="86">
        <f>VLOOKUP($B25,'Global Growth Equity'!$A$4:$S$19,J$1,0)</f>
        <v>-5.8663268678480249E-2</v>
      </c>
      <c r="K25" s="86">
        <f>VLOOKUP($B25,'Global Growth Equity'!$A$4:$S$19,K$1,0)</f>
        <v>0.16301160500110884</v>
      </c>
      <c r="L25" s="86">
        <f>VLOOKUP($B25,'Global Growth Equity'!$A$4:$S$19,L$1,0)</f>
        <v>0.10434833632262859</v>
      </c>
      <c r="M25" s="86">
        <f>VLOOKUP($B25,'Global Growth Equity'!$A$4:$S$19,M$1,0)</f>
        <v>0.98365813017385761</v>
      </c>
      <c r="O25" s="86">
        <f>VLOOKUP($B25,'Global Growth Equity'!$A$4:$S$19,O$1,0)</f>
        <v>0.16248141794709575</v>
      </c>
      <c r="P25" s="86">
        <f>VLOOKUP($B25,'Global Growth Equity'!$A$4:$S$19,P$1,0)</f>
        <v>0.11106187712023195</v>
      </c>
      <c r="Q25" s="86">
        <f>VLOOKUP($B25,'Global Growth Equity'!$A$4:$S$19,Q$1,0)</f>
        <v>0.19681197048850538</v>
      </c>
      <c r="R25" s="86">
        <f>VLOOKUP($B25,'Global Growth Equity'!$A$4:$S$19,R$1,0)</f>
        <v>0.27144530803453842</v>
      </c>
      <c r="S25" s="38"/>
      <c r="T25" s="86">
        <f>VLOOKUP($B25,'Global Growth Equity'!$A$4:$S$19,T$1,0)</f>
        <v>3.3552923365260653E-2</v>
      </c>
      <c r="U25" s="86">
        <f>VLOOKUP($B25,'Global Growth Equity'!$A$4:$S$19,U$1,0)</f>
        <v>8.6382424562018972E-2</v>
      </c>
      <c r="V25" s="86">
        <f>VLOOKUP($B25,'Global Growth Equity'!$A$4:$S$19,V$1,0)</f>
        <v>9.2669962445055265E-2</v>
      </c>
      <c r="W25" s="86">
        <f>VLOOKUP($B25,'Global Growth Equity'!$A$4:$S$19,W$1,0)</f>
        <v>0.27144530803453842</v>
      </c>
    </row>
    <row r="26" spans="1:27" ht="15">
      <c r="A26" s="6" t="s">
        <v>27</v>
      </c>
      <c r="B26" s="38">
        <f t="shared" si="3"/>
        <v>7</v>
      </c>
      <c r="C26" s="10" t="s">
        <v>12</v>
      </c>
      <c r="D26" s="10">
        <f t="shared" si="2"/>
        <v>2031</v>
      </c>
      <c r="E26" s="86">
        <f>VLOOKUP($B26,'Global Growth Equity'!$A$4:$S$19,E$1,0)</f>
        <v>-1.0370046954735617</v>
      </c>
      <c r="F26" s="86">
        <f>VLOOKUP($B26,'Global Growth Equity'!$A$4:$S$19,F$1,0)</f>
        <v>0.46401680836748815</v>
      </c>
      <c r="G26" s="86">
        <f>VLOOKUP($B26,'Global Growth Equity'!$A$4:$S$19,G$1,0)</f>
        <v>-0.57298788710607362</v>
      </c>
      <c r="H26" s="86">
        <f>VLOOKUP($B26,'Global Growth Equity'!$A$4:$S$19,H$1,0)</f>
        <v>0.9800404950799203</v>
      </c>
      <c r="I26" s="38"/>
      <c r="J26" s="86">
        <f>VLOOKUP($B26,'Global Growth Equity'!$A$4:$S$19,J$1,0)</f>
        <v>-2.3729731573953635E-2</v>
      </c>
      <c r="K26" s="86">
        <f>VLOOKUP($B26,'Global Growth Equity'!$A$4:$S$19,K$1,0)</f>
        <v>0.14242264396129659</v>
      </c>
      <c r="L26" s="86">
        <f>VLOOKUP($B26,'Global Growth Equity'!$A$4:$S$19,L$1,0)</f>
        <v>0.11869291238734295</v>
      </c>
      <c r="M26" s="86">
        <f>VLOOKUP($B26,'Global Growth Equity'!$A$4:$S$19,M$1,0)</f>
        <v>0.9800404950799203</v>
      </c>
      <c r="O26" s="86">
        <f>VLOOKUP($B26,'Global Growth Equity'!$A$4:$S$19,O$1,0)</f>
        <v>0.16327325777675408</v>
      </c>
      <c r="P26" s="86">
        <f>VLOOKUP($B26,'Global Growth Equity'!$A$4:$S$19,P$1,0)</f>
        <v>0.14666162953538045</v>
      </c>
      <c r="Q26" s="86">
        <f>VLOOKUP($B26,'Global Growth Equity'!$A$4:$S$19,Q$1,0)</f>
        <v>0.21947161612155583</v>
      </c>
      <c r="R26" s="86">
        <f>VLOOKUP($B26,'Global Growth Equity'!$A$4:$S$19,R$1,0)</f>
        <v>0.29182663923205299</v>
      </c>
      <c r="S26" s="38"/>
      <c r="T26" s="86">
        <f>VLOOKUP($B26,'Global Growth Equity'!$A$4:$S$19,T$1,0)</f>
        <v>1.606068264226572E-2</v>
      </c>
      <c r="U26" s="86">
        <f>VLOOKUP($B26,'Global Growth Equity'!$A$4:$S$19,U$1,0)</f>
        <v>9.5785661915046963E-2</v>
      </c>
      <c r="V26" s="86">
        <f>VLOOKUP($B26,'Global Growth Equity'!$A$4:$S$19,V$1,0)</f>
        <v>9.7122801418818502E-2</v>
      </c>
      <c r="W26" s="86">
        <f>VLOOKUP($B26,'Global Growth Equity'!$A$4:$S$19,W$1,0)</f>
        <v>0.29182663923205299</v>
      </c>
    </row>
    <row r="27" spans="1:27" ht="15">
      <c r="A27" s="6" t="s">
        <v>27</v>
      </c>
      <c r="B27" s="38">
        <f t="shared" si="3"/>
        <v>8</v>
      </c>
      <c r="C27" s="10" t="s">
        <v>13</v>
      </c>
      <c r="D27" s="10">
        <f t="shared" si="2"/>
        <v>2032</v>
      </c>
      <c r="E27" s="86">
        <f>VLOOKUP($B27,'Global Growth Equity'!$A$4:$S$19,E$1,0)</f>
        <v>-1.0514974231153265</v>
      </c>
      <c r="F27" s="86">
        <f>VLOOKUP($B27,'Global Growth Equity'!$A$4:$S$19,F$1,0)</f>
        <v>0.64288258689136524</v>
      </c>
      <c r="G27" s="86">
        <f>VLOOKUP($B27,'Global Growth Equity'!$A$4:$S$19,G$1,0)</f>
        <v>-0.40861483622396133</v>
      </c>
      <c r="H27" s="86">
        <f>VLOOKUP($B27,'Global Growth Equity'!$A$4:$S$19,H$1,0)</f>
        <v>0.86192870357473528</v>
      </c>
      <c r="I27" s="38"/>
      <c r="J27" s="86">
        <f>VLOOKUP($B27,'Global Growth Equity'!$A$4:$S$19,J$1,0)</f>
        <v>-1.4492727641764815E-2</v>
      </c>
      <c r="K27" s="86">
        <f>VLOOKUP($B27,'Global Growth Equity'!$A$4:$S$19,K$1,0)</f>
        <v>0.17886577852387714</v>
      </c>
      <c r="L27" s="86">
        <f>VLOOKUP($B27,'Global Growth Equity'!$A$4:$S$19,L$1,0)</f>
        <v>0.16437305088211232</v>
      </c>
      <c r="M27" s="86">
        <f>VLOOKUP($B27,'Global Growth Equity'!$A$4:$S$19,M$1,0)</f>
        <v>0.86192870357473528</v>
      </c>
      <c r="O27" s="86">
        <f>VLOOKUP($B27,'Global Growth Equity'!$A$4:$S$19,O$1,0)</f>
        <v>0.163657799112156</v>
      </c>
      <c r="P27" s="86">
        <f>VLOOKUP($B27,'Global Growth Equity'!$A$4:$S$19,P$1,0)</f>
        <v>0.18196615523228366</v>
      </c>
      <c r="Q27" s="86">
        <f>VLOOKUP($B27,'Global Growth Equity'!$A$4:$S$19,Q$1,0)</f>
        <v>0.24473568775365467</v>
      </c>
      <c r="R27" s="86">
        <f>VLOOKUP($B27,'Global Growth Equity'!$A$4:$S$19,R$1,0)</f>
        <v>0.31195581084223439</v>
      </c>
      <c r="S27" s="38"/>
      <c r="T27" s="86">
        <f>VLOOKUP($B27,'Global Growth Equity'!$A$4:$S$19,T$1,0)</f>
        <v>1.121242637435905E-2</v>
      </c>
      <c r="U27" s="86">
        <f>VLOOKUP($B27,'Global Growth Equity'!$A$4:$S$19,U$1,0)</f>
        <v>0.1077128036588333</v>
      </c>
      <c r="V27" s="86">
        <f>VLOOKUP($B27,'Global Growth Equity'!$A$4:$S$19,V$1,0)</f>
        <v>0.10829481325182104</v>
      </c>
      <c r="W27" s="86">
        <f>VLOOKUP($B27,'Global Growth Equity'!$A$4:$S$19,W$1,0)</f>
        <v>0.31195581084223439</v>
      </c>
    </row>
    <row r="28" spans="1:27" ht="15">
      <c r="A28" s="6" t="s">
        <v>27</v>
      </c>
      <c r="B28" s="38">
        <f t="shared" si="3"/>
        <v>9</v>
      </c>
      <c r="C28" s="10" t="s">
        <v>14</v>
      </c>
      <c r="D28" s="10">
        <f t="shared" si="2"/>
        <v>2033</v>
      </c>
      <c r="E28" s="86">
        <f>VLOOKUP($B28,'Global Growth Equity'!$A$4:$S$19,E$1,0)</f>
        <v>-1.0588448403388968</v>
      </c>
      <c r="F28" s="86">
        <f>VLOOKUP($B28,'Global Growth Equity'!$A$4:$S$19,F$1,0)</f>
        <v>0.82068178025936844</v>
      </c>
      <c r="G28" s="86">
        <f>VLOOKUP($B28,'Global Growth Equity'!$A$4:$S$19,G$1,0)</f>
        <v>-0.23816306007952848</v>
      </c>
      <c r="H28" s="86">
        <f>VLOOKUP($B28,'Global Growth Equity'!$A$4:$S$19,H$1,0)</f>
        <v>0.74636821287823263</v>
      </c>
      <c r="I28" s="38"/>
      <c r="J28" s="86">
        <f>VLOOKUP($B28,'Global Growth Equity'!$A$4:$S$19,J$1,0)</f>
        <v>-7.3474172235702866E-3</v>
      </c>
      <c r="K28" s="86">
        <f>VLOOKUP($B28,'Global Growth Equity'!$A$4:$S$19,K$1,0)</f>
        <v>0.17779919336800315</v>
      </c>
      <c r="L28" s="86">
        <f>VLOOKUP($B28,'Global Growth Equity'!$A$4:$S$19,L$1,0)</f>
        <v>0.17045177614443285</v>
      </c>
      <c r="M28" s="86">
        <f>VLOOKUP($B28,'Global Growth Equity'!$A$4:$S$19,M$1,0)</f>
        <v>0.74636821287823263</v>
      </c>
      <c r="O28" s="86">
        <f>VLOOKUP($B28,'Global Growth Equity'!$A$4:$S$19,O$1,0)</f>
        <v>0.16382728365078644</v>
      </c>
      <c r="P28" s="86">
        <f>VLOOKUP($B28,'Global Growth Equity'!$A$4:$S$19,P$1,0)</f>
        <v>0.21847130366229731</v>
      </c>
      <c r="Q28" s="86">
        <f>VLOOKUP($B28,'Global Growth Equity'!$A$4:$S$19,Q$1,0)</f>
        <v>0.2730734139243492</v>
      </c>
      <c r="R28" s="86">
        <f>VLOOKUP($B28,'Global Growth Equity'!$A$4:$S$19,R$1,0)</f>
        <v>0.33221333338998954</v>
      </c>
      <c r="S28" s="38"/>
      <c r="T28" s="86">
        <f>VLOOKUP($B28,'Global Growth Equity'!$A$4:$S$19,T$1,0)</f>
        <v>7.4500777284823476E-3</v>
      </c>
      <c r="U28" s="86">
        <f>VLOOKUP($B28,'Global Growth Equity'!$A$4:$S$19,U$1,0)</f>
        <v>0.12090504072983958</v>
      </c>
      <c r="V28" s="86">
        <f>VLOOKUP($B28,'Global Growth Equity'!$A$4:$S$19,V$1,0)</f>
        <v>0.12113435735597311</v>
      </c>
      <c r="W28" s="86">
        <f>VLOOKUP($B28,'Global Growth Equity'!$A$4:$S$19,W$1,0)</f>
        <v>0.33221333338998954</v>
      </c>
    </row>
    <row r="29" spans="1:27" ht="15">
      <c r="A29" s="6" t="s">
        <v>27</v>
      </c>
      <c r="B29" s="38">
        <f t="shared" si="3"/>
        <v>10</v>
      </c>
      <c r="C29" s="10" t="s">
        <v>15</v>
      </c>
      <c r="D29" s="10">
        <f t="shared" si="2"/>
        <v>2034</v>
      </c>
      <c r="E29" s="86">
        <f>VLOOKUP($B29,'Global Growth Equity'!$A$4:$S$19,E$1,0)</f>
        <v>-1.0619244641308339</v>
      </c>
      <c r="F29" s="86">
        <f>VLOOKUP($B29,'Global Growth Equity'!$A$4:$S$19,F$1,0)</f>
        <v>0.99435425952085399</v>
      </c>
      <c r="G29" s="86">
        <f>VLOOKUP($B29,'Global Growth Equity'!$A$4:$S$19,G$1,0)</f>
        <v>-6.7570204609979978E-2</v>
      </c>
      <c r="H29" s="86">
        <f>VLOOKUP($B29,'Global Growth Equity'!$A$4:$S$19,H$1,0)</f>
        <v>0.66473164546581709</v>
      </c>
      <c r="I29" s="38"/>
      <c r="J29" s="86">
        <f>VLOOKUP($B29,'Global Growth Equity'!$A$4:$S$19,J$1,0)</f>
        <v>-3.0796237919370395E-3</v>
      </c>
      <c r="K29" s="86">
        <f>VLOOKUP($B29,'Global Growth Equity'!$A$4:$S$19,K$1,0)</f>
        <v>0.17367247926148555</v>
      </c>
      <c r="L29" s="86">
        <f>VLOOKUP($B29,'Global Growth Equity'!$A$4:$S$19,L$1,0)</f>
        <v>0.1705928554695485</v>
      </c>
      <c r="M29" s="86">
        <f>VLOOKUP($B29,'Global Growth Equity'!$A$4:$S$19,M$1,0)</f>
        <v>0.66473164546581709</v>
      </c>
      <c r="O29" s="86">
        <f>VLOOKUP($B29,'Global Growth Equity'!$A$4:$S$19,O$1,0)</f>
        <v>0.16397989074822408</v>
      </c>
      <c r="P29" s="86">
        <f>VLOOKUP($B29,'Global Growth Equity'!$A$4:$S$19,P$1,0)</f>
        <v>0.26494438259164005</v>
      </c>
      <c r="Q29" s="86">
        <f>VLOOKUP($B29,'Global Growth Equity'!$A$4:$S$19,Q$1,0)</f>
        <v>0.31158454781433692</v>
      </c>
      <c r="R29" s="86">
        <f>VLOOKUP($B29,'Global Growth Equity'!$A$4:$S$19,R$1,0)</f>
        <v>0.34577371913295424</v>
      </c>
      <c r="S29" s="38"/>
      <c r="T29" s="86">
        <f>VLOOKUP($B29,'Global Growth Equity'!$A$4:$S$19,T$1,0)</f>
        <v>7.0728849421057768E-3</v>
      </c>
      <c r="U29" s="86">
        <f>VLOOKUP($B29,'Global Growth Equity'!$A$4:$S$19,U$1,0)</f>
        <v>0.14988600782915529</v>
      </c>
      <c r="V29" s="86">
        <f>VLOOKUP($B29,'Global Growth Equity'!$A$4:$S$19,V$1,0)</f>
        <v>0.15005279419046441</v>
      </c>
      <c r="W29" s="86">
        <f>VLOOKUP($B29,'Global Growth Equity'!$A$4:$S$19,W$1,0)</f>
        <v>0.34577371913295424</v>
      </c>
    </row>
    <row r="30" spans="1:27" ht="15">
      <c r="A30" s="6" t="s">
        <v>27</v>
      </c>
      <c r="B30" s="38">
        <f t="shared" si="3"/>
        <v>11</v>
      </c>
      <c r="C30" s="10" t="s">
        <v>16</v>
      </c>
      <c r="D30" s="10">
        <f t="shared" si="2"/>
        <v>2035</v>
      </c>
      <c r="E30" s="86">
        <f>VLOOKUP($B30,'Global Growth Equity'!$A$4:$S$19,E$1,0)</f>
        <v>-1.0645839872961282</v>
      </c>
      <c r="F30" s="86">
        <f>VLOOKUP($B30,'Global Growth Equity'!$A$4:$S$19,F$1,0)</f>
        <v>1.1115858050767209</v>
      </c>
      <c r="G30" s="86">
        <f>VLOOKUP($B30,'Global Growth Equity'!$A$4:$S$19,G$1,0)</f>
        <v>4.7001817780592564E-2</v>
      </c>
      <c r="H30" s="86">
        <f>VLOOKUP($B30,'Global Growth Equity'!$A$4:$S$19,H$1,0)</f>
        <v>0.56428378057957651</v>
      </c>
      <c r="I30" s="38"/>
      <c r="J30" s="86">
        <f>VLOOKUP($B30,'Global Growth Equity'!$A$4:$S$19,J$1,0)</f>
        <v>-2.6595231652943294E-3</v>
      </c>
      <c r="K30" s="86">
        <f>VLOOKUP($B30,'Global Growth Equity'!$A$4:$S$19,K$1,0)</f>
        <v>0.11723154555586687</v>
      </c>
      <c r="L30" s="86">
        <f>VLOOKUP($B30,'Global Growth Equity'!$A$4:$S$19,L$1,0)</f>
        <v>0.11457202239057254</v>
      </c>
      <c r="M30" s="86">
        <f>VLOOKUP($B30,'Global Growth Equity'!$A$4:$S$19,M$1,0)</f>
        <v>0.56428378057957651</v>
      </c>
      <c r="O30" s="86">
        <f>VLOOKUP($B30,'Global Growth Equity'!$A$4:$S$19,O$1,0)</f>
        <v>0.16405372246352459</v>
      </c>
      <c r="P30" s="86">
        <f>VLOOKUP($B30,'Global Growth Equity'!$A$4:$S$19,P$1,0)</f>
        <v>0.27569809138557472</v>
      </c>
      <c r="Q30" s="86">
        <f>VLOOKUP($B30,'Global Growth Equity'!$A$4:$S$19,Q$1,0)</f>
        <v>0.32081624249371765</v>
      </c>
      <c r="R30" s="86">
        <f>VLOOKUP($B30,'Global Growth Equity'!$A$4:$S$19,R$1,0)</f>
        <v>0.35729925787820094</v>
      </c>
      <c r="S30" s="38"/>
      <c r="T30" s="86">
        <f>VLOOKUP($B30,'Global Growth Equity'!$A$4:$S$19,T$1,0)</f>
        <v>4.9213092099207765E-3</v>
      </c>
      <c r="U30" s="86">
        <f>VLOOKUP($B30,'Global Growth Equity'!$A$4:$S$19,U$1,0)</f>
        <v>7.6249011316759888E-2</v>
      </c>
      <c r="V30" s="86">
        <f>VLOOKUP($B30,'Global Growth Equity'!$A$4:$S$19,V$1,0)</f>
        <v>7.6407663301026482E-2</v>
      </c>
      <c r="W30" s="86">
        <f>VLOOKUP($B30,'Global Growth Equity'!$A$4:$S$19,W$1,0)</f>
        <v>0.35729925787820094</v>
      </c>
    </row>
    <row r="31" spans="1:27" ht="15">
      <c r="A31" s="6" t="s">
        <v>27</v>
      </c>
      <c r="B31" s="38">
        <f t="shared" si="3"/>
        <v>12</v>
      </c>
      <c r="C31" s="10" t="s">
        <v>17</v>
      </c>
      <c r="D31" s="10">
        <f t="shared" si="2"/>
        <v>2036</v>
      </c>
      <c r="E31" s="86">
        <f>VLOOKUP($B31,'Global Growth Equity'!$A$4:$S$19,E$1,0)</f>
        <v>-1.0654919929251279</v>
      </c>
      <c r="F31" s="86">
        <f>VLOOKUP($B31,'Global Growth Equity'!$A$4:$S$19,F$1,0)</f>
        <v>1.2014331699340492</v>
      </c>
      <c r="G31" s="86">
        <f>VLOOKUP($B31,'Global Growth Equity'!$A$4:$S$19,G$1,0)</f>
        <v>0.1359411770089213</v>
      </c>
      <c r="H31" s="86">
        <f>VLOOKUP($B31,'Global Growth Equity'!$A$4:$S$19,H$1,0)</f>
        <v>0.47895941656893221</v>
      </c>
      <c r="I31" s="38"/>
      <c r="J31" s="86">
        <f>VLOOKUP($B31,'Global Growth Equity'!$A$4:$S$19,J$1,0)</f>
        <v>-9.0800562899970099E-4</v>
      </c>
      <c r="K31" s="86">
        <f>VLOOKUP($B31,'Global Growth Equity'!$A$4:$S$19,K$1,0)</f>
        <v>8.9847364857328443E-2</v>
      </c>
      <c r="L31" s="86">
        <f>VLOOKUP($B31,'Global Growth Equity'!$A$4:$S$19,L$1,0)</f>
        <v>8.893935922832874E-2</v>
      </c>
      <c r="M31" s="86">
        <f>VLOOKUP($B31,'Global Growth Equity'!$A$4:$S$19,M$1,0)</f>
        <v>0.47895941656893221</v>
      </c>
      <c r="O31" s="86">
        <f>VLOOKUP($B31,'Global Growth Equity'!$A$4:$S$19,O$1,0)</f>
        <v>0.16405983433197996</v>
      </c>
      <c r="P31" s="86">
        <f>VLOOKUP($B31,'Global Growth Equity'!$A$4:$S$19,P$1,0)</f>
        <v>0.28544026189553146</v>
      </c>
      <c r="Q31" s="86">
        <f>VLOOKUP($B31,'Global Growth Equity'!$A$4:$S$19,Q$1,0)</f>
        <v>0.32922905757546111</v>
      </c>
      <c r="R31" s="86">
        <f>VLOOKUP($B31,'Global Growth Equity'!$A$4:$S$19,R$1,0)</f>
        <v>0.36351569445355214</v>
      </c>
      <c r="S31" s="38"/>
      <c r="T31" s="86">
        <f>VLOOKUP($B31,'Global Growth Equity'!$A$4:$S$19,T$1,0)</f>
        <v>1.4161168375377616E-3</v>
      </c>
      <c r="U31" s="86">
        <f>VLOOKUP($B31,'Global Growth Equity'!$A$4:$S$19,U$1,0)</f>
        <v>7.393717277081184E-2</v>
      </c>
      <c r="V31" s="86">
        <f>VLOOKUP($B31,'Global Growth Equity'!$A$4:$S$19,V$1,0)</f>
        <v>7.3950732952678955E-2</v>
      </c>
      <c r="W31" s="86">
        <f>VLOOKUP($B31,'Global Growth Equity'!$A$4:$S$19,W$1,0)</f>
        <v>0.36351569445355214</v>
      </c>
    </row>
    <row r="32" spans="1:27" ht="15">
      <c r="A32" s="6" t="s">
        <v>27</v>
      </c>
      <c r="B32" s="38">
        <f t="shared" si="3"/>
        <v>13</v>
      </c>
      <c r="C32" s="10" t="s">
        <v>18</v>
      </c>
      <c r="D32" s="10">
        <f t="shared" si="2"/>
        <v>2037</v>
      </c>
      <c r="E32" s="86">
        <f>VLOOKUP($B32,'Global Growth Equity'!$A$4:$S$19,E$1,0)</f>
        <v>-1.0655775964111107</v>
      </c>
      <c r="F32" s="86">
        <f>VLOOKUP($B32,'Global Growth Equity'!$A$4:$S$19,F$1,0)</f>
        <v>1.2384718456155728</v>
      </c>
      <c r="G32" s="86">
        <f>VLOOKUP($B32,'Global Growth Equity'!$A$4:$S$19,G$1,0)</f>
        <v>0.17289424920446211</v>
      </c>
      <c r="H32" s="86">
        <f>VLOOKUP($B32,'Global Growth Equity'!$A$4:$S$19,H$1,0)</f>
        <v>0.42438693446595194</v>
      </c>
      <c r="I32" s="38"/>
      <c r="J32" s="86">
        <f>VLOOKUP($B32,'Global Growth Equity'!$A$4:$S$19,J$1,0)</f>
        <v>-8.5603485982759528E-5</v>
      </c>
      <c r="K32" s="86">
        <f>VLOOKUP($B32,'Global Growth Equity'!$A$4:$S$19,K$1,0)</f>
        <v>3.703867568152356E-2</v>
      </c>
      <c r="L32" s="86">
        <f>VLOOKUP($B32,'Global Growth Equity'!$A$4:$S$19,L$1,0)</f>
        <v>3.6953072195540802E-2</v>
      </c>
      <c r="M32" s="86">
        <f>VLOOKUP($B32,'Global Growth Equity'!$A$4:$S$19,M$1,0)</f>
        <v>0.42438693446595194</v>
      </c>
      <c r="O32" s="86">
        <f>VLOOKUP($B32,'Global Growth Equity'!$A$4:$S$19,O$1,0)</f>
        <v>0.16410067921073301</v>
      </c>
      <c r="P32" s="86">
        <f>VLOOKUP($B32,'Global Growth Equity'!$A$4:$S$19,P$1,0)</f>
        <v>0.28821438280529199</v>
      </c>
      <c r="Q32" s="86">
        <f>VLOOKUP($B32,'Global Growth Equity'!$A$4:$S$19,Q$1,0)</f>
        <v>0.33165729808532679</v>
      </c>
      <c r="R32" s="86">
        <f>VLOOKUP($B32,'Global Growth Equity'!$A$4:$S$19,R$1,0)</f>
        <v>0.36628396578672512</v>
      </c>
      <c r="S32" s="38"/>
      <c r="T32" s="86">
        <f>VLOOKUP($B32,'Global Growth Equity'!$A$4:$S$19,T$1,0)</f>
        <v>3.6611031653307679E-3</v>
      </c>
      <c r="U32" s="86">
        <f>VLOOKUP($B32,'Global Growth Equity'!$A$4:$S$19,U$1,0)</f>
        <v>3.9892196540749818E-2</v>
      </c>
      <c r="V32" s="86">
        <f>VLOOKUP($B32,'Global Growth Equity'!$A$4:$S$19,V$1,0)</f>
        <v>4.0059843000603571E-2</v>
      </c>
      <c r="W32" s="86">
        <f>VLOOKUP($B32,'Global Growth Equity'!$A$4:$S$19,W$1,0)</f>
        <v>0.36628396578672512</v>
      </c>
    </row>
    <row r="33" spans="1:27" ht="15">
      <c r="A33" s="6" t="s">
        <v>27</v>
      </c>
      <c r="B33" s="38">
        <f t="shared" si="3"/>
        <v>14</v>
      </c>
      <c r="C33" s="10" t="s">
        <v>19</v>
      </c>
      <c r="D33" s="10">
        <f t="shared" si="2"/>
        <v>2038</v>
      </c>
      <c r="E33" s="86">
        <f>VLOOKUP($B33,'Global Growth Equity'!$A$4:$S$19,E$1,0)</f>
        <v>-1.0663803796527052</v>
      </c>
      <c r="F33" s="86">
        <f>VLOOKUP($B33,'Global Growth Equity'!$A$4:$S$19,F$1,0)</f>
        <v>1.2744755761758757</v>
      </c>
      <c r="G33" s="86">
        <f>VLOOKUP($B33,'Global Growth Equity'!$A$4:$S$19,G$1,0)</f>
        <v>0.20809519652317054</v>
      </c>
      <c r="H33" s="86">
        <f>VLOOKUP($B33,'Global Growth Equity'!$A$4:$S$19,H$1,0)</f>
        <v>0.3778369921518599</v>
      </c>
      <c r="I33" s="38"/>
      <c r="J33" s="86">
        <f>VLOOKUP($B33,'Global Growth Equity'!$A$4:$S$19,J$1,0)</f>
        <v>-8.027832415944061E-4</v>
      </c>
      <c r="K33" s="86">
        <f>VLOOKUP($B33,'Global Growth Equity'!$A$4:$S$19,K$1,0)</f>
        <v>3.6003730560302843E-2</v>
      </c>
      <c r="L33" s="86">
        <f>VLOOKUP($B33,'Global Growth Equity'!$A$4:$S$19,L$1,0)</f>
        <v>3.5200947318708438E-2</v>
      </c>
      <c r="M33" s="86">
        <f>VLOOKUP($B33,'Global Growth Equity'!$A$4:$S$19,M$1,0)</f>
        <v>0.3778369921518599</v>
      </c>
      <c r="O33" s="86">
        <f>VLOOKUP($B33,'Global Growth Equity'!$A$4:$S$19,O$1,0)</f>
        <v>0.16412088754945059</v>
      </c>
      <c r="P33" s="86">
        <f>VLOOKUP($B33,'Global Growth Equity'!$A$4:$S$19,P$1,0)</f>
        <v>0.2903798984328424</v>
      </c>
      <c r="Q33" s="86">
        <f>VLOOKUP($B33,'Global Growth Equity'!$A$4:$S$19,Q$1,0)</f>
        <v>0.3335508224302367</v>
      </c>
      <c r="R33" s="86">
        <f>VLOOKUP($B33,'Global Growth Equity'!$A$4:$S$19,R$1,0)</f>
        <v>0.36824532311306435</v>
      </c>
      <c r="S33" s="38"/>
      <c r="T33" s="86">
        <f>VLOOKUP($B33,'Global Growth Equity'!$A$4:$S$19,T$1,0)</f>
        <v>2.5754247407961109E-3</v>
      </c>
      <c r="U33" s="86">
        <f>VLOOKUP($B33,'Global Growth Equity'!$A$4:$S$19,U$1,0)</f>
        <v>3.5397103808538846E-2</v>
      </c>
      <c r="V33" s="86">
        <f>VLOOKUP($B33,'Global Growth Equity'!$A$4:$S$19,V$1,0)</f>
        <v>3.5490671600125853E-2</v>
      </c>
      <c r="W33" s="86">
        <f>VLOOKUP($B33,'Global Growth Equity'!$A$4:$S$19,W$1,0)</f>
        <v>0.36824532311306435</v>
      </c>
    </row>
    <row r="34" spans="1:27" ht="15">
      <c r="A34" s="6" t="s">
        <v>27</v>
      </c>
      <c r="B34" s="38">
        <f t="shared" si="3"/>
        <v>15</v>
      </c>
      <c r="C34" s="10" t="s">
        <v>20</v>
      </c>
      <c r="D34" s="10">
        <f t="shared" si="2"/>
        <v>2039</v>
      </c>
      <c r="E34" s="86">
        <f>VLOOKUP($B34,'Global Growth Equity'!$A$4:$S$19,E$1,0)</f>
        <v>-1.0663803796527052</v>
      </c>
      <c r="F34" s="86">
        <f>VLOOKUP($B34,'Global Growth Equity'!$A$4:$S$19,F$1,0)</f>
        <v>1.2961158946364031</v>
      </c>
      <c r="G34" s="86">
        <f>VLOOKUP($B34,'Global Growth Equity'!$A$4:$S$19,G$1,0)</f>
        <v>0.22973551498369787</v>
      </c>
      <c r="H34" s="86">
        <f>VLOOKUP($B34,'Global Growth Equity'!$A$4:$S$19,H$1,0)</f>
        <v>0.35867890820151233</v>
      </c>
      <c r="I34" s="38"/>
      <c r="J34" s="86">
        <f>VLOOKUP($B34,'Global Growth Equity'!$A$4:$S$19,J$1,0)</f>
        <v>0</v>
      </c>
      <c r="K34" s="86">
        <f>VLOOKUP($B34,'Global Growth Equity'!$A$4:$S$19,K$1,0)</f>
        <v>2.1640318460527334E-2</v>
      </c>
      <c r="L34" s="86">
        <f>VLOOKUP($B34,'Global Growth Equity'!$A$4:$S$19,L$1,0)</f>
        <v>2.1640318460527334E-2</v>
      </c>
      <c r="M34" s="86">
        <f>VLOOKUP($B34,'Global Growth Equity'!$A$4:$S$19,M$1,0)</f>
        <v>0.35867890820151233</v>
      </c>
      <c r="O34" s="86">
        <f>VLOOKUP($B34,'Global Growth Equity'!$A$4:$S$19,O$1,0)</f>
        <v>0.16412088754945059</v>
      </c>
      <c r="P34" s="86">
        <f>VLOOKUP($B34,'Global Growth Equity'!$A$4:$S$19,P$1,0)</f>
        <v>0.29186645255578092</v>
      </c>
      <c r="Q34" s="86">
        <f>VLOOKUP($B34,'Global Growth Equity'!$A$4:$S$19,Q$1,0)</f>
        <v>0.33484577324122722</v>
      </c>
      <c r="R34" s="86">
        <f>VLOOKUP($B34,'Global Growth Equity'!$A$4:$S$19,R$1,0)</f>
        <v>0.36922975136845315</v>
      </c>
      <c r="S34" s="38"/>
      <c r="T34" s="86">
        <f>VLOOKUP($B34,'Global Growth Equity'!$A$4:$S$19,T$1,0)</f>
        <v>0</v>
      </c>
      <c r="U34" s="86">
        <f>VLOOKUP($B34,'Global Growth Equity'!$A$4:$S$19,U$1,0)</f>
        <v>2.9420073311058215E-2</v>
      </c>
      <c r="V34" s="86">
        <f>VLOOKUP($B34,'Global Growth Equity'!$A$4:$S$19,V$1,0)</f>
        <v>2.9420073311058215E-2</v>
      </c>
      <c r="W34" s="86">
        <f>VLOOKUP($B34,'Global Growth Equity'!$A$4:$S$19,W$1,0)</f>
        <v>0.36922975136845315</v>
      </c>
      <c r="Y34" s="94">
        <f>SUM(H34,F34)/-E34</f>
        <v>1.5517866179953939</v>
      </c>
      <c r="Z34" s="94">
        <f>SUM(M34,K20:K34)/-SUM(J20:J34)</f>
        <v>1.5517866179953936</v>
      </c>
      <c r="AA34" s="38" t="b">
        <f>Y34=Z34</f>
        <v>1</v>
      </c>
    </row>
    <row r="35" spans="1:27" ht="15">
      <c r="J35" s="28"/>
      <c r="K35" s="28"/>
      <c r="L35" s="86"/>
      <c r="M35" s="28"/>
      <c r="O35" s="28"/>
      <c r="P35" s="28"/>
      <c r="Q35" s="28"/>
      <c r="R35" s="28"/>
    </row>
    <row r="36" spans="1:27" s="38" customFormat="1" ht="15">
      <c r="A36" s="38" t="s">
        <v>49</v>
      </c>
      <c r="B36" s="38">
        <v>1</v>
      </c>
      <c r="C36" s="10" t="s">
        <v>6</v>
      </c>
      <c r="D36" s="10">
        <f t="shared" ref="D36:D50" si="4">D4</f>
        <v>2025</v>
      </c>
      <c r="E36" s="86">
        <f>VLOOKUP($B36,'Global Venture Capital'!$A$4:$S$19,E$1,0)</f>
        <v>-0.23728645528779854</v>
      </c>
      <c r="F36" s="86">
        <f>VLOOKUP($B36,'Global Venture Capital'!$A$4:$S$19,F$1,0)</f>
        <v>1.0667405391746069E-4</v>
      </c>
      <c r="G36" s="86">
        <f>VLOOKUP($B36,'Global Venture Capital'!$A$4:$S$19,G$1,0)</f>
        <v>-0.23717978123388109</v>
      </c>
      <c r="H36" s="86">
        <f>VLOOKUP($B36,'Global Venture Capital'!$A$4:$S$19,H$1,0)</f>
        <v>0.22347147574644466</v>
      </c>
      <c r="J36" s="86">
        <f>VLOOKUP($B36,'Global Venture Capital'!$A$4:$S$19,J$1,0)</f>
        <v>-0.23728645528779854</v>
      </c>
      <c r="K36" s="86">
        <f>VLOOKUP($B36,'Global Venture Capital'!$A$4:$S$19,K$1,0)</f>
        <v>1.0667405391746069E-4</v>
      </c>
      <c r="L36" s="86">
        <f>VLOOKUP($B36,'Global Venture Capital'!$A$4:$S$19,L$1,0)</f>
        <v>-0.23717978123388109</v>
      </c>
      <c r="M36" s="86">
        <f>VLOOKUP($B36,'Global Venture Capital'!$A$4:$S$19,M$1,0)</f>
        <v>0.22347147574644466</v>
      </c>
      <c r="N36" s="52"/>
      <c r="O36" s="86">
        <f>VLOOKUP($B36,'Global Venture Capital'!$A$4:$S$19,O$1,0)</f>
        <v>0.12384243821697058</v>
      </c>
      <c r="P36" s="86">
        <f>VLOOKUP($B36,'Global Venture Capital'!$A$4:$S$19,P$1,0)</f>
        <v>6.2014678361051081E-4</v>
      </c>
      <c r="Q36" s="86">
        <f>VLOOKUP($B36,'Global Venture Capital'!$A$4:$S$19,Q$1,0)</f>
        <v>0.12384399091420382</v>
      </c>
      <c r="R36" s="86">
        <f>VLOOKUP($B36,'Global Venture Capital'!$A$4:$S$19,R$1,0)</f>
        <v>0.12459635547613705</v>
      </c>
      <c r="T36" s="86">
        <f>VLOOKUP($B36,'Global Venture Capital'!$A$4:$S$19,T$1,0)</f>
        <v>0.11790838510275252</v>
      </c>
      <c r="U36" s="86">
        <f>VLOOKUP($B36,'Global Venture Capital'!$A$4:$S$19,U$1,0)</f>
        <v>6.2014678361051081E-4</v>
      </c>
      <c r="V36" s="86">
        <f>VLOOKUP($B36,'Global Venture Capital'!$A$4:$S$19,V$1,0)</f>
        <v>0.11791001594254924</v>
      </c>
      <c r="W36" s="86">
        <f>VLOOKUP($B36,'Global Venture Capital'!$A$4:$S$19,W$1,0)</f>
        <v>0.12459635547613705</v>
      </c>
    </row>
    <row r="37" spans="1:27" s="38" customFormat="1" ht="15">
      <c r="A37" s="38" t="s">
        <v>49</v>
      </c>
      <c r="B37" s="38">
        <f>B36+1</f>
        <v>2</v>
      </c>
      <c r="C37" s="10" t="s">
        <v>7</v>
      </c>
      <c r="D37" s="10">
        <f t="shared" si="4"/>
        <v>2026</v>
      </c>
      <c r="E37" s="86">
        <f>VLOOKUP($B37,'Global Venture Capital'!$A$4:$S$19,E$1,0)</f>
        <v>-0.47002015748026704</v>
      </c>
      <c r="F37" s="86">
        <f>VLOOKUP($B37,'Global Venture Capital'!$A$4:$S$19,F$1,0)</f>
        <v>3.38963520842191E-4</v>
      </c>
      <c r="G37" s="86">
        <f>VLOOKUP($B37,'Global Venture Capital'!$A$4:$S$19,G$1,0)</f>
        <v>-0.46968119395942487</v>
      </c>
      <c r="H37" s="86">
        <f>VLOOKUP($B37,'Global Venture Capital'!$A$4:$S$19,H$1,0)</f>
        <v>0.47424318974135832</v>
      </c>
      <c r="J37" s="86">
        <f>VLOOKUP($B37,'Global Venture Capital'!$A$4:$S$19,J$1,0)</f>
        <v>-0.23273370219246847</v>
      </c>
      <c r="K37" s="86">
        <f>VLOOKUP($B37,'Global Venture Capital'!$A$4:$S$19,K$1,0)</f>
        <v>2.322894669247303E-4</v>
      </c>
      <c r="L37" s="86">
        <f>VLOOKUP($B37,'Global Venture Capital'!$A$4:$S$19,L$1,0)</f>
        <v>-0.23250141272554375</v>
      </c>
      <c r="M37" s="86">
        <f>VLOOKUP($B37,'Global Venture Capital'!$A$4:$S$19,M$1,0)</f>
        <v>0.47424318974135832</v>
      </c>
      <c r="N37" s="52"/>
      <c r="O37" s="86">
        <f>VLOOKUP($B37,'Global Venture Capital'!$A$4:$S$19,O$1,0)</f>
        <v>0.14136631275333159</v>
      </c>
      <c r="P37" s="86">
        <f>VLOOKUP($B37,'Global Venture Capital'!$A$4:$S$19,P$1,0)</f>
        <v>1.1973182977135278E-3</v>
      </c>
      <c r="Q37" s="86">
        <f>VLOOKUP($B37,'Global Venture Capital'!$A$4:$S$19,Q$1,0)</f>
        <v>0.14137138307514291</v>
      </c>
      <c r="R37" s="86">
        <f>VLOOKUP($B37,'Global Venture Capital'!$A$4:$S$19,R$1,0)</f>
        <v>0.16131201772629292</v>
      </c>
      <c r="T37" s="86">
        <f>VLOOKUP($B37,'Global Venture Capital'!$A$4:$S$19,T$1,0)</f>
        <v>6.8172464220890447E-2</v>
      </c>
      <c r="U37" s="86">
        <f>VLOOKUP($B37,'Global Venture Capital'!$A$4:$S$19,U$1,0)</f>
        <v>1.024201675851567E-3</v>
      </c>
      <c r="V37" s="86">
        <f>VLOOKUP($B37,'Global Venture Capital'!$A$4:$S$19,V$1,0)</f>
        <v>6.8180157428839996E-2</v>
      </c>
      <c r="W37" s="86">
        <f>VLOOKUP($B37,'Global Venture Capital'!$A$4:$S$19,W$1,0)</f>
        <v>0.16131201772629292</v>
      </c>
    </row>
    <row r="38" spans="1:27" s="38" customFormat="1" ht="15">
      <c r="A38" s="38" t="s">
        <v>49</v>
      </c>
      <c r="B38" s="38">
        <f t="shared" ref="B38:B50" si="5">B37+1</f>
        <v>3</v>
      </c>
      <c r="C38" s="10" t="s">
        <v>8</v>
      </c>
      <c r="D38" s="10">
        <f t="shared" si="4"/>
        <v>2027</v>
      </c>
      <c r="E38" s="86">
        <f>VLOOKUP($B38,'Global Venture Capital'!$A$4:$S$19,E$1,0)</f>
        <v>-0.6931947800739644</v>
      </c>
      <c r="F38" s="86">
        <f>VLOOKUP($B38,'Global Venture Capital'!$A$4:$S$19,F$1,0)</f>
        <v>2.396386105870809E-2</v>
      </c>
      <c r="G38" s="86">
        <f>VLOOKUP($B38,'Global Venture Capital'!$A$4:$S$19,G$1,0)</f>
        <v>-0.66923091901525633</v>
      </c>
      <c r="H38" s="86">
        <f>VLOOKUP($B38,'Global Venture Capital'!$A$4:$S$19,H$1,0)</f>
        <v>0.72963727394569533</v>
      </c>
      <c r="J38" s="86">
        <f>VLOOKUP($B38,'Global Venture Capital'!$A$4:$S$19,J$1,0)</f>
        <v>-0.22317462259369741</v>
      </c>
      <c r="K38" s="86">
        <f>VLOOKUP($B38,'Global Venture Capital'!$A$4:$S$19,K$1,0)</f>
        <v>2.36248975378659E-2</v>
      </c>
      <c r="L38" s="86">
        <f>VLOOKUP($B38,'Global Venture Capital'!$A$4:$S$19,L$1,0)</f>
        <v>-0.19954972505583152</v>
      </c>
      <c r="M38" s="86">
        <f>VLOOKUP($B38,'Global Venture Capital'!$A$4:$S$19,M$1,0)</f>
        <v>0.72963727394569533</v>
      </c>
      <c r="N38" s="52"/>
      <c r="O38" s="86">
        <f>VLOOKUP($B38,'Global Venture Capital'!$A$4:$S$19,O$1,0)</f>
        <v>0.16221470369513541</v>
      </c>
      <c r="P38" s="86">
        <f>VLOOKUP($B38,'Global Venture Capital'!$A$4:$S$19,P$1,0)</f>
        <v>4.9267616922277185E-2</v>
      </c>
      <c r="Q38" s="86">
        <f>VLOOKUP($B38,'Global Venture Capital'!$A$4:$S$19,Q$1,0)</f>
        <v>0.16953143712037844</v>
      </c>
      <c r="R38" s="86">
        <f>VLOOKUP($B38,'Global Venture Capital'!$A$4:$S$19,R$1,0)</f>
        <v>0.2069550986687208</v>
      </c>
      <c r="T38" s="86">
        <f>VLOOKUP($B38,'Global Venture Capital'!$A$4:$S$19,T$1,0)</f>
        <v>7.9556116756839088E-2</v>
      </c>
      <c r="U38" s="86">
        <f>VLOOKUP($B38,'Global Venture Capital'!$A$4:$S$19,U$1,0)</f>
        <v>4.9253065956285542E-2</v>
      </c>
      <c r="V38" s="86">
        <f>VLOOKUP($B38,'Global Venture Capital'!$A$4:$S$19,V$1,0)</f>
        <v>9.3568371897356575E-2</v>
      </c>
      <c r="W38" s="86">
        <f>VLOOKUP($B38,'Global Venture Capital'!$A$4:$S$19,W$1,0)</f>
        <v>0.2069550986687208</v>
      </c>
    </row>
    <row r="39" spans="1:27" s="38" customFormat="1" ht="15">
      <c r="A39" s="38" t="s">
        <v>49</v>
      </c>
      <c r="B39" s="38">
        <f t="shared" si="5"/>
        <v>4</v>
      </c>
      <c r="C39" s="10" t="s">
        <v>9</v>
      </c>
      <c r="D39" s="10">
        <f t="shared" si="4"/>
        <v>2028</v>
      </c>
      <c r="E39" s="86">
        <f>VLOOKUP($B39,'Global Venture Capital'!$A$4:$S$19,E$1,0)</f>
        <v>-0.84333541334881923</v>
      </c>
      <c r="F39" s="86">
        <f>VLOOKUP($B39,'Global Venture Capital'!$A$4:$S$19,F$1,0)</f>
        <v>9.4652637315429028E-2</v>
      </c>
      <c r="G39" s="86">
        <f>VLOOKUP($B39,'Global Venture Capital'!$A$4:$S$19,G$1,0)</f>
        <v>-0.74868277603339028</v>
      </c>
      <c r="H39" s="86">
        <f>VLOOKUP($B39,'Global Venture Capital'!$A$4:$S$19,H$1,0)</f>
        <v>0.91127213070588475</v>
      </c>
      <c r="J39" s="86">
        <f>VLOOKUP($B39,'Global Venture Capital'!$A$4:$S$19,J$1,0)</f>
        <v>-0.15014063327485483</v>
      </c>
      <c r="K39" s="86">
        <f>VLOOKUP($B39,'Global Venture Capital'!$A$4:$S$19,K$1,0)</f>
        <v>7.0688776256720931E-2</v>
      </c>
      <c r="L39" s="86">
        <f>VLOOKUP($B39,'Global Venture Capital'!$A$4:$S$19,L$1,0)</f>
        <v>-7.9451857018133898E-2</v>
      </c>
      <c r="M39" s="86">
        <f>VLOOKUP($B39,'Global Venture Capital'!$A$4:$S$19,M$1,0)</f>
        <v>0.91127213070588475</v>
      </c>
      <c r="N39" s="52"/>
      <c r="O39" s="86">
        <f>VLOOKUP($B39,'Global Venture Capital'!$A$4:$S$19,O$1,0)</f>
        <v>0.17030537937805498</v>
      </c>
      <c r="P39" s="86">
        <f>VLOOKUP($B39,'Global Venture Capital'!$A$4:$S$19,P$1,0)</f>
        <v>9.8959577462748291E-2</v>
      </c>
      <c r="Q39" s="86">
        <f>VLOOKUP($B39,'Global Venture Capital'!$A$4:$S$19,Q$1,0)</f>
        <v>0.19696933826539831</v>
      </c>
      <c r="R39" s="86">
        <f>VLOOKUP($B39,'Global Venture Capital'!$A$4:$S$19,R$1,0)</f>
        <v>0.27025620677093687</v>
      </c>
      <c r="T39" s="86">
        <f>VLOOKUP($B39,'Global Venture Capital'!$A$4:$S$19,T$1,0)</f>
        <v>5.1868219076835982E-2</v>
      </c>
      <c r="U39" s="86">
        <f>VLOOKUP($B39,'Global Venture Capital'!$A$4:$S$19,U$1,0)</f>
        <v>8.5823655797253401E-2</v>
      </c>
      <c r="V39" s="86">
        <f>VLOOKUP($B39,'Global Venture Capital'!$A$4:$S$19,V$1,0)</f>
        <v>0.10027966914887623</v>
      </c>
      <c r="W39" s="86">
        <f>VLOOKUP($B39,'Global Venture Capital'!$A$4:$S$19,W$1,0)</f>
        <v>0.27025620677093687</v>
      </c>
    </row>
    <row r="40" spans="1:27" s="38" customFormat="1" ht="15">
      <c r="A40" s="38" t="s">
        <v>49</v>
      </c>
      <c r="B40" s="38">
        <f t="shared" si="5"/>
        <v>5</v>
      </c>
      <c r="C40" s="10" t="s">
        <v>10</v>
      </c>
      <c r="D40" s="10">
        <f t="shared" si="4"/>
        <v>2029</v>
      </c>
      <c r="E40" s="86">
        <f>VLOOKUP($B40,'Global Venture Capital'!$A$4:$S$19,E$1,0)</f>
        <v>-0.94282626094481836</v>
      </c>
      <c r="F40" s="86">
        <f>VLOOKUP($B40,'Global Venture Capital'!$A$4:$S$19,F$1,0)</f>
        <v>0.21029658408809934</v>
      </c>
      <c r="G40" s="86">
        <f>VLOOKUP($B40,'Global Venture Capital'!$A$4:$S$19,G$1,0)</f>
        <v>-0.7325296768567191</v>
      </c>
      <c r="H40" s="86">
        <f>VLOOKUP($B40,'Global Venture Capital'!$A$4:$S$19,H$1,0)</f>
        <v>0.9773386966567944</v>
      </c>
      <c r="J40" s="86">
        <f>VLOOKUP($B40,'Global Venture Capital'!$A$4:$S$19,J$1,0)</f>
        <v>-9.9490847595999091E-2</v>
      </c>
      <c r="K40" s="86">
        <f>VLOOKUP($B40,'Global Venture Capital'!$A$4:$S$19,K$1,0)</f>
        <v>0.11564394677267031</v>
      </c>
      <c r="L40" s="86">
        <f>VLOOKUP($B40,'Global Venture Capital'!$A$4:$S$19,L$1,0)</f>
        <v>1.6153099176671223E-2</v>
      </c>
      <c r="M40" s="86">
        <f>VLOOKUP($B40,'Global Venture Capital'!$A$4:$S$19,M$1,0)</f>
        <v>0.9773386966567944</v>
      </c>
      <c r="N40" s="52"/>
      <c r="O40" s="86">
        <f>VLOOKUP($B40,'Global Venture Capital'!$A$4:$S$19,O$1,0)</f>
        <v>0.1745079702853421</v>
      </c>
      <c r="P40" s="86">
        <f>VLOOKUP($B40,'Global Venture Capital'!$A$4:$S$19,P$1,0)</f>
        <v>0.13153383157803125</v>
      </c>
      <c r="Q40" s="86">
        <f>VLOOKUP($B40,'Global Venture Capital'!$A$4:$S$19,Q$1,0)</f>
        <v>0.21852729930767853</v>
      </c>
      <c r="R40" s="86">
        <f>VLOOKUP($B40,'Global Venture Capital'!$A$4:$S$19,R$1,0)</f>
        <v>0.37202330940230399</v>
      </c>
      <c r="T40" s="86">
        <f>VLOOKUP($B40,'Global Venture Capital'!$A$4:$S$19,T$1,0)</f>
        <v>3.8067170212751668E-2</v>
      </c>
      <c r="U40" s="86">
        <f>VLOOKUP($B40,'Global Venture Capital'!$A$4:$S$19,U$1,0)</f>
        <v>8.6649586715645766E-2</v>
      </c>
      <c r="V40" s="86">
        <f>VLOOKUP($B40,'Global Venture Capital'!$A$4:$S$19,V$1,0)</f>
        <v>9.4642803878577181E-2</v>
      </c>
      <c r="W40" s="86">
        <f>VLOOKUP($B40,'Global Venture Capital'!$A$4:$S$19,W$1,0)</f>
        <v>0.37202330940230399</v>
      </c>
    </row>
    <row r="41" spans="1:27" s="38" customFormat="1" ht="15">
      <c r="A41" s="38" t="s">
        <v>49</v>
      </c>
      <c r="B41" s="38">
        <f t="shared" si="5"/>
        <v>6</v>
      </c>
      <c r="C41" s="10" t="s">
        <v>11</v>
      </c>
      <c r="D41" s="10">
        <f t="shared" si="4"/>
        <v>2030</v>
      </c>
      <c r="E41" s="86">
        <f>VLOOKUP($B41,'Global Venture Capital'!$A$4:$S$19,E$1,0)</f>
        <v>-0.98949945650704718</v>
      </c>
      <c r="F41" s="86">
        <f>VLOOKUP($B41,'Global Venture Capital'!$A$4:$S$19,F$1,0)</f>
        <v>0.37897547712089141</v>
      </c>
      <c r="G41" s="86">
        <f>VLOOKUP($B41,'Global Venture Capital'!$A$4:$S$19,G$1,0)</f>
        <v>-0.61052397938615588</v>
      </c>
      <c r="H41" s="86">
        <f>VLOOKUP($B41,'Global Venture Capital'!$A$4:$S$19,H$1,0)</f>
        <v>0.97298201471536405</v>
      </c>
      <c r="J41" s="86">
        <f>VLOOKUP($B41,'Global Venture Capital'!$A$4:$S$19,J$1,0)</f>
        <v>-4.6673195562228834E-2</v>
      </c>
      <c r="K41" s="86">
        <f>VLOOKUP($B41,'Global Venture Capital'!$A$4:$S$19,K$1,0)</f>
        <v>0.1686788930327921</v>
      </c>
      <c r="L41" s="86">
        <f>VLOOKUP($B41,'Global Venture Capital'!$A$4:$S$19,L$1,0)</f>
        <v>0.12200569747056327</v>
      </c>
      <c r="M41" s="86">
        <f>VLOOKUP($B41,'Global Venture Capital'!$A$4:$S$19,M$1,0)</f>
        <v>0.97298201471536405</v>
      </c>
      <c r="N41" s="52"/>
      <c r="O41" s="86">
        <f>VLOOKUP($B41,'Global Venture Capital'!$A$4:$S$19,O$1,0)</f>
        <v>0.17650037107599537</v>
      </c>
      <c r="P41" s="86">
        <f>VLOOKUP($B41,'Global Venture Capital'!$A$4:$S$19,P$1,0)</f>
        <v>0.16930846589268703</v>
      </c>
      <c r="Q41" s="86">
        <f>VLOOKUP($B41,'Global Venture Capital'!$A$4:$S$19,Q$1,0)</f>
        <v>0.24457664977037202</v>
      </c>
      <c r="R41" s="86">
        <f>VLOOKUP($B41,'Global Venture Capital'!$A$4:$S$19,R$1,0)</f>
        <v>0.39954870303817863</v>
      </c>
      <c r="T41" s="86">
        <f>VLOOKUP($B41,'Global Venture Capital'!$A$4:$S$19,T$1,0)</f>
        <v>2.6445213117958145E-2</v>
      </c>
      <c r="U41" s="86">
        <f>VLOOKUP($B41,'Global Venture Capital'!$A$4:$S$19,U$1,0)</f>
        <v>0.10660303829318034</v>
      </c>
      <c r="V41" s="86">
        <f>VLOOKUP($B41,'Global Venture Capital'!$A$4:$S$19,V$1,0)</f>
        <v>0.10983422540443165</v>
      </c>
      <c r="W41" s="86">
        <f>VLOOKUP($B41,'Global Venture Capital'!$A$4:$S$19,W$1,0)</f>
        <v>0.39954870303817863</v>
      </c>
    </row>
    <row r="42" spans="1:27" s="38" customFormat="1" ht="15">
      <c r="A42" s="38" t="s">
        <v>49</v>
      </c>
      <c r="B42" s="38">
        <f t="shared" si="5"/>
        <v>7</v>
      </c>
      <c r="C42" s="10" t="s">
        <v>12</v>
      </c>
      <c r="D42" s="10">
        <f t="shared" si="4"/>
        <v>2031</v>
      </c>
      <c r="E42" s="86">
        <f>VLOOKUP($B42,'Global Venture Capital'!$A$4:$S$19,E$1,0)</f>
        <v>-1.0120027310968824</v>
      </c>
      <c r="F42" s="86">
        <f>VLOOKUP($B42,'Global Venture Capital'!$A$4:$S$19,F$1,0)</f>
        <v>0.54990364484228293</v>
      </c>
      <c r="G42" s="86">
        <f>VLOOKUP($B42,'Global Venture Capital'!$A$4:$S$19,G$1,0)</f>
        <v>-0.46209908625459956</v>
      </c>
      <c r="H42" s="86">
        <f>VLOOKUP($B42,'Global Venture Capital'!$A$4:$S$19,H$1,0)</f>
        <v>0.90210478184621645</v>
      </c>
      <c r="J42" s="86">
        <f>VLOOKUP($B42,'Global Venture Capital'!$A$4:$S$19,J$1,0)</f>
        <v>-2.2503274589835212E-2</v>
      </c>
      <c r="K42" s="86">
        <f>VLOOKUP($B42,'Global Venture Capital'!$A$4:$S$19,K$1,0)</f>
        <v>0.17092816772139155</v>
      </c>
      <c r="L42" s="86">
        <f>VLOOKUP($B42,'Global Venture Capital'!$A$4:$S$19,L$1,0)</f>
        <v>0.14842489313155632</v>
      </c>
      <c r="M42" s="86">
        <f>VLOOKUP($B42,'Global Venture Capital'!$A$4:$S$19,M$1,0)</f>
        <v>0.90210478184621645</v>
      </c>
      <c r="N42" s="52"/>
      <c r="O42" s="86">
        <f>VLOOKUP($B42,'Global Venture Capital'!$A$4:$S$19,O$1,0)</f>
        <v>0.17724016019207253</v>
      </c>
      <c r="P42" s="86">
        <f>VLOOKUP($B42,'Global Venture Capital'!$A$4:$S$19,P$1,0)</f>
        <v>0.19388613340072508</v>
      </c>
      <c r="Q42" s="86">
        <f>VLOOKUP($B42,'Global Venture Capital'!$A$4:$S$19,Q$1,0)</f>
        <v>0.26268975448234611</v>
      </c>
      <c r="R42" s="86">
        <f>VLOOKUP($B42,'Global Venture Capital'!$A$4:$S$19,R$1,0)</f>
        <v>0.4216119715758514</v>
      </c>
      <c r="T42" s="86">
        <f>VLOOKUP($B42,'Global Venture Capital'!$A$4:$S$19,T$1,0)</f>
        <v>1.617694022204039E-2</v>
      </c>
      <c r="U42" s="86">
        <f>VLOOKUP($B42,'Global Venture Capital'!$A$4:$S$19,U$1,0)</f>
        <v>9.4480030176480143E-2</v>
      </c>
      <c r="V42" s="86">
        <f>VLOOKUP($B42,'Global Venture Capital'!$A$4:$S$19,V$1,0)</f>
        <v>9.5854939867990457E-2</v>
      </c>
      <c r="W42" s="86">
        <f>VLOOKUP($B42,'Global Venture Capital'!$A$4:$S$19,W$1,0)</f>
        <v>0.4216119715758514</v>
      </c>
    </row>
    <row r="43" spans="1:27" s="38" customFormat="1" ht="15">
      <c r="A43" s="38" t="s">
        <v>49</v>
      </c>
      <c r="B43" s="38">
        <f t="shared" si="5"/>
        <v>8</v>
      </c>
      <c r="C43" s="10" t="s">
        <v>13</v>
      </c>
      <c r="D43" s="10">
        <f t="shared" si="4"/>
        <v>2032</v>
      </c>
      <c r="E43" s="86">
        <f>VLOOKUP($B43,'Global Venture Capital'!$A$4:$S$19,E$1,0)</f>
        <v>-1.0237832001706757</v>
      </c>
      <c r="F43" s="86">
        <f>VLOOKUP($B43,'Global Venture Capital'!$A$4:$S$19,F$1,0)</f>
        <v>0.73067667146892989</v>
      </c>
      <c r="G43" s="86">
        <f>VLOOKUP($B43,'Global Venture Capital'!$A$4:$S$19,G$1,0)</f>
        <v>-0.29310652870174581</v>
      </c>
      <c r="H43" s="86">
        <f>VLOOKUP($B43,'Global Venture Capital'!$A$4:$S$19,H$1,0)</f>
        <v>0.8466233483335438</v>
      </c>
      <c r="J43" s="86">
        <f>VLOOKUP($B43,'Global Venture Capital'!$A$4:$S$19,J$1,0)</f>
        <v>-1.1780469073793166E-2</v>
      </c>
      <c r="K43" s="86">
        <f>VLOOKUP($B43,'Global Venture Capital'!$A$4:$S$19,K$1,0)</f>
        <v>0.1807730266266469</v>
      </c>
      <c r="L43" s="86">
        <f>VLOOKUP($B43,'Global Venture Capital'!$A$4:$S$19,L$1,0)</f>
        <v>0.16899255755285375</v>
      </c>
      <c r="M43" s="86">
        <f>VLOOKUP($B43,'Global Venture Capital'!$A$4:$S$19,M$1,0)</f>
        <v>0.8466233483335438</v>
      </c>
      <c r="N43" s="52"/>
      <c r="O43" s="86">
        <f>VLOOKUP($B43,'Global Venture Capital'!$A$4:$S$19,O$1,0)</f>
        <v>0.17754313015096915</v>
      </c>
      <c r="P43" s="86">
        <f>VLOOKUP($B43,'Global Venture Capital'!$A$4:$S$19,P$1,0)</f>
        <v>0.22046186448171851</v>
      </c>
      <c r="Q43" s="86">
        <f>VLOOKUP($B43,'Global Venture Capital'!$A$4:$S$19,Q$1,0)</f>
        <v>0.28306359136165776</v>
      </c>
      <c r="R43" s="86">
        <f>VLOOKUP($B43,'Global Venture Capital'!$A$4:$S$19,R$1,0)</f>
        <v>0.43708938994463592</v>
      </c>
      <c r="T43" s="86">
        <f>VLOOKUP($B43,'Global Venture Capital'!$A$4:$S$19,T$1,0)</f>
        <v>1.0367674710003053E-2</v>
      </c>
      <c r="U43" s="86">
        <f>VLOOKUP($B43,'Global Venture Capital'!$A$4:$S$19,U$1,0)</f>
        <v>0.10493617567679818</v>
      </c>
      <c r="V43" s="86">
        <f>VLOOKUP($B43,'Global Venture Capital'!$A$4:$S$19,V$1,0)</f>
        <v>0.10544709405462194</v>
      </c>
      <c r="W43" s="86">
        <f>VLOOKUP($B43,'Global Venture Capital'!$A$4:$S$19,W$1,0)</f>
        <v>0.43708938994463592</v>
      </c>
    </row>
    <row r="44" spans="1:27" s="38" customFormat="1" ht="15">
      <c r="A44" s="38" t="s">
        <v>49</v>
      </c>
      <c r="B44" s="38">
        <f t="shared" si="5"/>
        <v>9</v>
      </c>
      <c r="C44" s="10" t="s">
        <v>14</v>
      </c>
      <c r="D44" s="10">
        <f t="shared" si="4"/>
        <v>2033</v>
      </c>
      <c r="E44" s="86">
        <f>VLOOKUP($B44,'Global Venture Capital'!$A$4:$S$19,E$1,0)</f>
        <v>-1.0301158311978935</v>
      </c>
      <c r="F44" s="86">
        <f>VLOOKUP($B44,'Global Venture Capital'!$A$4:$S$19,F$1,0)</f>
        <v>0.92161548908955437</v>
      </c>
      <c r="G44" s="86">
        <f>VLOOKUP($B44,'Global Venture Capital'!$A$4:$S$19,G$1,0)</f>
        <v>-0.1085003421083392</v>
      </c>
      <c r="H44" s="86">
        <f>VLOOKUP($B44,'Global Venture Capital'!$A$4:$S$19,H$1,0)</f>
        <v>0.74842013394810714</v>
      </c>
      <c r="J44" s="86">
        <f>VLOOKUP($B44,'Global Venture Capital'!$A$4:$S$19,J$1,0)</f>
        <v>-6.3326310272178755E-3</v>
      </c>
      <c r="K44" s="86">
        <f>VLOOKUP($B44,'Global Venture Capital'!$A$4:$S$19,K$1,0)</f>
        <v>0.19093881762062448</v>
      </c>
      <c r="L44" s="86">
        <f>VLOOKUP($B44,'Global Venture Capital'!$A$4:$S$19,L$1,0)</f>
        <v>0.18460618659340661</v>
      </c>
      <c r="M44" s="86">
        <f>VLOOKUP($B44,'Global Venture Capital'!$A$4:$S$19,M$1,0)</f>
        <v>0.74842013394810714</v>
      </c>
      <c r="N44" s="52"/>
      <c r="O44" s="86">
        <f>VLOOKUP($B44,'Global Venture Capital'!$A$4:$S$19,O$1,0)</f>
        <v>0.17762924736506339</v>
      </c>
      <c r="P44" s="86">
        <f>VLOOKUP($B44,'Global Venture Capital'!$A$4:$S$19,P$1,0)</f>
        <v>0.2469402763500298</v>
      </c>
      <c r="Q44" s="86">
        <f>VLOOKUP($B44,'Global Venture Capital'!$A$4:$S$19,Q$1,0)</f>
        <v>0.30419015369223895</v>
      </c>
      <c r="R44" s="86">
        <f>VLOOKUP($B44,'Global Venture Capital'!$A$4:$S$19,R$1,0)</f>
        <v>0.45163210897608569</v>
      </c>
      <c r="T44" s="86">
        <f>VLOOKUP($B44,'Global Venture Capital'!$A$4:$S$19,T$1,0)</f>
        <v>5.5305022986076148E-3</v>
      </c>
      <c r="U44" s="86">
        <f>VLOOKUP($B44,'Global Venture Capital'!$A$4:$S$19,U$1,0)</f>
        <v>0.11124777028360376</v>
      </c>
      <c r="V44" s="86">
        <f>VLOOKUP($B44,'Global Venture Capital'!$A$4:$S$19,V$1,0)</f>
        <v>0.11138515542363972</v>
      </c>
      <c r="W44" s="86">
        <f>VLOOKUP($B44,'Global Venture Capital'!$A$4:$S$19,W$1,0)</f>
        <v>0.45163210897608569</v>
      </c>
    </row>
    <row r="45" spans="1:27" s="38" customFormat="1" ht="15">
      <c r="A45" s="38" t="s">
        <v>49</v>
      </c>
      <c r="B45" s="38">
        <f t="shared" si="5"/>
        <v>10</v>
      </c>
      <c r="C45" s="10" t="s">
        <v>15</v>
      </c>
      <c r="D45" s="10">
        <f t="shared" si="4"/>
        <v>2034</v>
      </c>
      <c r="E45" s="86">
        <f>VLOOKUP($B45,'Global Venture Capital'!$A$4:$S$19,E$1,0)</f>
        <v>-1.0347461541823169</v>
      </c>
      <c r="F45" s="86">
        <f>VLOOKUP($B45,'Global Venture Capital'!$A$4:$S$19,F$1,0)</f>
        <v>1.0884033009753062</v>
      </c>
      <c r="G45" s="86">
        <f>VLOOKUP($B45,'Global Venture Capital'!$A$4:$S$19,G$1,0)</f>
        <v>5.365714679298933E-2</v>
      </c>
      <c r="H45" s="86">
        <f>VLOOKUP($B45,'Global Venture Capital'!$A$4:$S$19,H$1,0)</f>
        <v>0.64977759668746693</v>
      </c>
      <c r="J45" s="86">
        <f>VLOOKUP($B45,'Global Venture Capital'!$A$4:$S$19,J$1,0)</f>
        <v>-4.6303229844233719E-3</v>
      </c>
      <c r="K45" s="86">
        <f>VLOOKUP($B45,'Global Venture Capital'!$A$4:$S$19,K$1,0)</f>
        <v>0.1667878118857519</v>
      </c>
      <c r="L45" s="86">
        <f>VLOOKUP($B45,'Global Venture Capital'!$A$4:$S$19,L$1,0)</f>
        <v>0.16215748890132853</v>
      </c>
      <c r="M45" s="86">
        <f>VLOOKUP($B45,'Global Venture Capital'!$A$4:$S$19,M$1,0)</f>
        <v>0.64977759668746693</v>
      </c>
      <c r="N45" s="52"/>
      <c r="O45" s="86">
        <f>VLOOKUP($B45,'Global Venture Capital'!$A$4:$S$19,O$1,0)</f>
        <v>0.17769892770852577</v>
      </c>
      <c r="P45" s="86">
        <f>VLOOKUP($B45,'Global Venture Capital'!$A$4:$S$19,P$1,0)</f>
        <v>0.26572443280548125</v>
      </c>
      <c r="Q45" s="86">
        <f>VLOOKUP($B45,'Global Venture Capital'!$A$4:$S$19,Q$1,0)</f>
        <v>0.31966604933673293</v>
      </c>
      <c r="R45" s="86">
        <f>VLOOKUP($B45,'Global Venture Capital'!$A$4:$S$19,R$1,0)</f>
        <v>0.46026175620475401</v>
      </c>
      <c r="T45" s="86">
        <f>VLOOKUP($B45,'Global Venture Capital'!$A$4:$S$19,T$1,0)</f>
        <v>4.9758807542976515E-3</v>
      </c>
      <c r="U45" s="86">
        <f>VLOOKUP($B45,'Global Venture Capital'!$A$4:$S$19,U$1,0)</f>
        <v>9.8132431468733267E-2</v>
      </c>
      <c r="V45" s="86">
        <f>VLOOKUP($B45,'Global Venture Capital'!$A$4:$S$19,V$1,0)</f>
        <v>9.8258503424622862E-2</v>
      </c>
      <c r="W45" s="86">
        <f>VLOOKUP($B45,'Global Venture Capital'!$A$4:$S$19,W$1,0)</f>
        <v>0.46026175620475401</v>
      </c>
    </row>
    <row r="46" spans="1:27" s="38" customFormat="1" ht="15">
      <c r="A46" s="38" t="s">
        <v>49</v>
      </c>
      <c r="B46" s="38">
        <f t="shared" si="5"/>
        <v>11</v>
      </c>
      <c r="C46" s="10" t="s">
        <v>16</v>
      </c>
      <c r="D46" s="10">
        <f t="shared" si="4"/>
        <v>2035</v>
      </c>
      <c r="E46" s="86">
        <f>VLOOKUP($B46,'Global Venture Capital'!$A$4:$S$19,E$1,0)</f>
        <v>-1.0369946145613513</v>
      </c>
      <c r="F46" s="86">
        <f>VLOOKUP($B46,'Global Venture Capital'!$A$4:$S$19,F$1,0)</f>
        <v>1.2262429501646492</v>
      </c>
      <c r="G46" s="86">
        <f>VLOOKUP($B46,'Global Venture Capital'!$A$4:$S$19,G$1,0)</f>
        <v>0.18924833560329776</v>
      </c>
      <c r="H46" s="86">
        <f>VLOOKUP($B46,'Global Venture Capital'!$A$4:$S$19,H$1,0)</f>
        <v>0.56613932916749832</v>
      </c>
      <c r="J46" s="86">
        <f>VLOOKUP($B46,'Global Venture Capital'!$A$4:$S$19,J$1,0)</f>
        <v>-2.2484603790345146E-3</v>
      </c>
      <c r="K46" s="86">
        <f>VLOOKUP($B46,'Global Venture Capital'!$A$4:$S$19,K$1,0)</f>
        <v>0.13783964918934294</v>
      </c>
      <c r="L46" s="86">
        <f>VLOOKUP($B46,'Global Venture Capital'!$A$4:$S$19,L$1,0)</f>
        <v>0.13559118881030843</v>
      </c>
      <c r="M46" s="86">
        <f>VLOOKUP($B46,'Global Venture Capital'!$A$4:$S$19,M$1,0)</f>
        <v>0.56613932916749832</v>
      </c>
      <c r="N46" s="52"/>
      <c r="O46" s="86">
        <f>VLOOKUP($B46,'Global Venture Capital'!$A$4:$S$19,O$1,0)</f>
        <v>0.17771496494041808</v>
      </c>
      <c r="P46" s="86">
        <f>VLOOKUP($B46,'Global Venture Capital'!$A$4:$S$19,P$1,0)</f>
        <v>0.28127402716713035</v>
      </c>
      <c r="Q46" s="86">
        <f>VLOOKUP($B46,'Global Venture Capital'!$A$4:$S$19,Q$1,0)</f>
        <v>0.33271261942191133</v>
      </c>
      <c r="R46" s="86">
        <f>VLOOKUP($B46,'Global Venture Capital'!$A$4:$S$19,R$1,0)</f>
        <v>0.46659000102925929</v>
      </c>
      <c r="T46" s="86">
        <f>VLOOKUP($B46,'Global Venture Capital'!$A$4:$S$19,T$1,0)</f>
        <v>2.3874369131272918E-3</v>
      </c>
      <c r="U46" s="86">
        <f>VLOOKUP($B46,'Global Venture Capital'!$A$4:$S$19,U$1,0)</f>
        <v>9.2225832438752625E-2</v>
      </c>
      <c r="V46" s="86">
        <f>VLOOKUP($B46,'Global Venture Capital'!$A$4:$S$19,V$1,0)</f>
        <v>9.225672888215275E-2</v>
      </c>
      <c r="W46" s="86">
        <f>VLOOKUP($B46,'Global Venture Capital'!$A$4:$S$19,W$1,0)</f>
        <v>0.46659000102925929</v>
      </c>
    </row>
    <row r="47" spans="1:27" s="38" customFormat="1" ht="15">
      <c r="A47" s="38" t="s">
        <v>49</v>
      </c>
      <c r="B47" s="38">
        <f t="shared" si="5"/>
        <v>12</v>
      </c>
      <c r="C47" s="10" t="s">
        <v>17</v>
      </c>
      <c r="D47" s="10">
        <f t="shared" si="4"/>
        <v>2036</v>
      </c>
      <c r="E47" s="86">
        <f>VLOOKUP($B47,'Global Venture Capital'!$A$4:$S$19,E$1,0)</f>
        <v>-1.037738675134616</v>
      </c>
      <c r="F47" s="86">
        <f>VLOOKUP($B47,'Global Venture Capital'!$A$4:$S$19,F$1,0)</f>
        <v>1.3420954620376957</v>
      </c>
      <c r="G47" s="86">
        <f>VLOOKUP($B47,'Global Venture Capital'!$A$4:$S$19,G$1,0)</f>
        <v>0.30435678690307949</v>
      </c>
      <c r="H47" s="86">
        <f>VLOOKUP($B47,'Global Venture Capital'!$A$4:$S$19,H$1,0)</f>
        <v>0.48253972650593524</v>
      </c>
      <c r="J47" s="86">
        <f>VLOOKUP($B47,'Global Venture Capital'!$A$4:$S$19,J$1,0)</f>
        <v>-7.4406057326465336E-4</v>
      </c>
      <c r="K47" s="86">
        <f>VLOOKUP($B47,'Global Venture Capital'!$A$4:$S$19,K$1,0)</f>
        <v>0.11585251187304638</v>
      </c>
      <c r="L47" s="86">
        <f>VLOOKUP($B47,'Global Venture Capital'!$A$4:$S$19,L$1,0)</f>
        <v>0.11510845129978173</v>
      </c>
      <c r="M47" s="86">
        <f>VLOOKUP($B47,'Global Venture Capital'!$A$4:$S$19,M$1,0)</f>
        <v>0.48253972650593524</v>
      </c>
      <c r="N47" s="52"/>
      <c r="O47" s="86">
        <f>VLOOKUP($B47,'Global Venture Capital'!$A$4:$S$19,O$1,0)</f>
        <v>0.17772032508246877</v>
      </c>
      <c r="P47" s="86">
        <f>VLOOKUP($B47,'Global Venture Capital'!$A$4:$S$19,P$1,0)</f>
        <v>0.29312446320023178</v>
      </c>
      <c r="Q47" s="86">
        <f>VLOOKUP($B47,'Global Venture Capital'!$A$4:$S$19,Q$1,0)</f>
        <v>0.34279215987802641</v>
      </c>
      <c r="R47" s="86">
        <f>VLOOKUP($B47,'Global Venture Capital'!$A$4:$S$19,R$1,0)</f>
        <v>0.46972902261554439</v>
      </c>
      <c r="T47" s="86">
        <f>VLOOKUP($B47,'Global Venture Capital'!$A$4:$S$19,T$1,0)</f>
        <v>1.3802838999106243E-3</v>
      </c>
      <c r="U47" s="86">
        <f>VLOOKUP($B47,'Global Venture Capital'!$A$4:$S$19,U$1,0)</f>
        <v>8.2503773050742649E-2</v>
      </c>
      <c r="V47" s="86">
        <f>VLOOKUP($B47,'Global Venture Capital'!$A$4:$S$19,V$1,0)</f>
        <v>8.2515318282442573E-2</v>
      </c>
      <c r="W47" s="86">
        <f>VLOOKUP($B47,'Global Venture Capital'!$A$4:$S$19,W$1,0)</f>
        <v>0.46972902261554439</v>
      </c>
    </row>
    <row r="48" spans="1:27" s="38" customFormat="1" ht="15">
      <c r="A48" s="38" t="s">
        <v>49</v>
      </c>
      <c r="B48" s="38">
        <f t="shared" si="5"/>
        <v>13</v>
      </c>
      <c r="C48" s="10" t="s">
        <v>18</v>
      </c>
      <c r="D48" s="10">
        <f t="shared" si="4"/>
        <v>2037</v>
      </c>
      <c r="E48" s="86">
        <f>VLOOKUP($B48,'Global Venture Capital'!$A$4:$S$19,E$1,0)</f>
        <v>-1.0378948653956701</v>
      </c>
      <c r="F48" s="86">
        <f>VLOOKUP($B48,'Global Venture Capital'!$A$4:$S$19,F$1,0)</f>
        <v>1.4229508025836046</v>
      </c>
      <c r="G48" s="86">
        <f>VLOOKUP($B48,'Global Venture Capital'!$A$4:$S$19,G$1,0)</f>
        <v>0.38505593718793435</v>
      </c>
      <c r="H48" s="86">
        <f>VLOOKUP($B48,'Global Venture Capital'!$A$4:$S$19,H$1,0)</f>
        <v>0.43233375129059098</v>
      </c>
      <c r="J48" s="86">
        <f>VLOOKUP($B48,'Global Venture Capital'!$A$4:$S$19,J$1,0)</f>
        <v>-1.5619026105409946E-4</v>
      </c>
      <c r="K48" s="86">
        <f>VLOOKUP($B48,'Global Venture Capital'!$A$4:$S$19,K$1,0)</f>
        <v>8.0855340545908955E-2</v>
      </c>
      <c r="L48" s="86">
        <f>VLOOKUP($B48,'Global Venture Capital'!$A$4:$S$19,L$1,0)</f>
        <v>8.0699150284854859E-2</v>
      </c>
      <c r="M48" s="86">
        <f>VLOOKUP($B48,'Global Venture Capital'!$A$4:$S$19,M$1,0)</f>
        <v>0.43233375129059098</v>
      </c>
      <c r="N48" s="52"/>
      <c r="O48" s="86">
        <f>VLOOKUP($B48,'Global Venture Capital'!$A$4:$S$19,O$1,0)</f>
        <v>0.17772080270855142</v>
      </c>
      <c r="P48" s="86">
        <f>VLOOKUP($B48,'Global Venture Capital'!$A$4:$S$19,P$1,0)</f>
        <v>0.30027253565549494</v>
      </c>
      <c r="Q48" s="86">
        <f>VLOOKUP($B48,'Global Venture Capital'!$A$4:$S$19,Q$1,0)</f>
        <v>0.34892446085700607</v>
      </c>
      <c r="R48" s="86">
        <f>VLOOKUP($B48,'Global Venture Capital'!$A$4:$S$19,R$1,0)</f>
        <v>0.47119200042428472</v>
      </c>
      <c r="T48" s="86">
        <f>VLOOKUP($B48,'Global Venture Capital'!$A$4:$S$19,T$1,0)</f>
        <v>4.1202906874190844E-4</v>
      </c>
      <c r="U48" s="86">
        <f>VLOOKUP($B48,'Global Venture Capital'!$A$4:$S$19,U$1,0)</f>
        <v>6.5127910626369995E-2</v>
      </c>
      <c r="V48" s="86">
        <f>VLOOKUP($B48,'Global Venture Capital'!$A$4:$S$19,V$1,0)</f>
        <v>6.512921395587333E-2</v>
      </c>
      <c r="W48" s="86">
        <f>VLOOKUP($B48,'Global Venture Capital'!$A$4:$S$19,W$1,0)</f>
        <v>0.47119200042428472</v>
      </c>
    </row>
    <row r="49" spans="1:27" s="38" customFormat="1" ht="15">
      <c r="A49" s="38" t="s">
        <v>49</v>
      </c>
      <c r="B49" s="38">
        <f t="shared" si="5"/>
        <v>14</v>
      </c>
      <c r="C49" s="10" t="s">
        <v>19</v>
      </c>
      <c r="D49" s="10">
        <f t="shared" si="4"/>
        <v>2038</v>
      </c>
      <c r="E49" s="86">
        <f>VLOOKUP($B49,'Global Venture Capital'!$A$4:$S$19,E$1,0)</f>
        <v>-1.0381193547543921</v>
      </c>
      <c r="F49" s="86">
        <f>VLOOKUP($B49,'Global Venture Capital'!$A$4:$S$19,F$1,0)</f>
        <v>1.4937047220810216</v>
      </c>
      <c r="G49" s="86">
        <f>VLOOKUP($B49,'Global Venture Capital'!$A$4:$S$19,G$1,0)</f>
        <v>0.4555853673266293</v>
      </c>
      <c r="H49" s="86">
        <f>VLOOKUP($B49,'Global Venture Capital'!$A$4:$S$19,H$1,0)</f>
        <v>0.39186386148389124</v>
      </c>
      <c r="J49" s="86">
        <f>VLOOKUP($B49,'Global Venture Capital'!$A$4:$S$19,J$1,0)</f>
        <v>-2.2448935872209185E-4</v>
      </c>
      <c r="K49" s="86">
        <f>VLOOKUP($B49,'Global Venture Capital'!$A$4:$S$19,K$1,0)</f>
        <v>7.0753919497417037E-2</v>
      </c>
      <c r="L49" s="86">
        <f>VLOOKUP($B49,'Global Venture Capital'!$A$4:$S$19,L$1,0)</f>
        <v>7.0529430138694948E-2</v>
      </c>
      <c r="M49" s="86">
        <f>VLOOKUP($B49,'Global Venture Capital'!$A$4:$S$19,M$1,0)</f>
        <v>0.39186386148389124</v>
      </c>
      <c r="N49" s="52"/>
      <c r="O49" s="86">
        <f>VLOOKUP($B49,'Global Venture Capital'!$A$4:$S$19,O$1,0)</f>
        <v>0.17772235795806987</v>
      </c>
      <c r="P49" s="86">
        <f>VLOOKUP($B49,'Global Venture Capital'!$A$4:$S$19,P$1,0)</f>
        <v>0.30461039511153382</v>
      </c>
      <c r="Q49" s="86">
        <f>VLOOKUP($B49,'Global Venture Capital'!$A$4:$S$19,Q$1,0)</f>
        <v>0.35266518020380327</v>
      </c>
      <c r="R49" s="86">
        <f>VLOOKUP($B49,'Global Venture Capital'!$A$4:$S$19,R$1,0)</f>
        <v>0.47189861712672787</v>
      </c>
      <c r="T49" s="86">
        <f>VLOOKUP($B49,'Global Venture Capital'!$A$4:$S$19,T$1,0)</f>
        <v>7.4350709778306997E-4</v>
      </c>
      <c r="U49" s="86">
        <f>VLOOKUP($B49,'Global Venture Capital'!$A$4:$S$19,U$1,0)</f>
        <v>5.1223989897549407E-2</v>
      </c>
      <c r="V49" s="86">
        <f>VLOOKUP($B49,'Global Venture Capital'!$A$4:$S$19,V$1,0)</f>
        <v>5.122938554998193E-2</v>
      </c>
      <c r="W49" s="86">
        <f>VLOOKUP($B49,'Global Venture Capital'!$A$4:$S$19,W$1,0)</f>
        <v>0.47189861712672787</v>
      </c>
    </row>
    <row r="50" spans="1:27" s="38" customFormat="1" ht="15">
      <c r="A50" s="38" t="s">
        <v>49</v>
      </c>
      <c r="B50" s="38">
        <f t="shared" si="5"/>
        <v>15</v>
      </c>
      <c r="C50" s="10" t="s">
        <v>20</v>
      </c>
      <c r="D50" s="10">
        <f t="shared" si="4"/>
        <v>2039</v>
      </c>
      <c r="E50" s="86">
        <f>VLOOKUP($B50,'Global Venture Capital'!$A$4:$S$19,E$1,0)</f>
        <v>-1.0381271678774637</v>
      </c>
      <c r="F50" s="86">
        <f>VLOOKUP($B50,'Global Venture Capital'!$A$4:$S$19,F$1,0)</f>
        <v>1.5411408215577886</v>
      </c>
      <c r="G50" s="86">
        <f>VLOOKUP($B50,'Global Venture Capital'!$A$4:$S$19,G$1,0)</f>
        <v>0.5030136536803248</v>
      </c>
      <c r="H50" s="86">
        <f>VLOOKUP($B50,'Global Venture Capital'!$A$4:$S$19,H$1,0)</f>
        <v>0.35970177006102788</v>
      </c>
      <c r="J50" s="86">
        <f>VLOOKUP($B50,'Global Venture Capital'!$A$4:$S$19,J$1,0)</f>
        <v>-7.8131230716974132E-6</v>
      </c>
      <c r="K50" s="86">
        <f>VLOOKUP($B50,'Global Venture Capital'!$A$4:$S$19,K$1,0)</f>
        <v>4.7436099476767177E-2</v>
      </c>
      <c r="L50" s="86">
        <f>VLOOKUP($B50,'Global Venture Capital'!$A$4:$S$19,L$1,0)</f>
        <v>4.7428286353695483E-2</v>
      </c>
      <c r="M50" s="86">
        <f>VLOOKUP($B50,'Global Venture Capital'!$A$4:$S$19,M$1,0)</f>
        <v>0.35970177006102788</v>
      </c>
      <c r="N50" s="52"/>
      <c r="O50" s="86">
        <f>VLOOKUP($B50,'Global Venture Capital'!$A$4:$S$19,O$1,0)</f>
        <v>0.17772236259511184</v>
      </c>
      <c r="P50" s="86">
        <f>VLOOKUP($B50,'Global Venture Capital'!$A$4:$S$19,P$1,0)</f>
        <v>0.30724473731202562</v>
      </c>
      <c r="Q50" s="86">
        <f>VLOOKUP($B50,'Global Venture Capital'!$A$4:$S$19,Q$1,0)</f>
        <v>0.35494304722352854</v>
      </c>
      <c r="R50" s="86">
        <f>VLOOKUP($B50,'Global Venture Capital'!$A$4:$S$19,R$1,0)</f>
        <v>0.47255184267278255</v>
      </c>
      <c r="T50" s="86">
        <f>VLOOKUP($B50,'Global Venture Capital'!$A$4:$S$19,T$1,0)</f>
        <v>4.0598178377905593E-5</v>
      </c>
      <c r="U50" s="86">
        <f>VLOOKUP($B50,'Global Venture Capital'!$A$4:$S$19,U$1,0)</f>
        <v>4.0147674850866226E-2</v>
      </c>
      <c r="V50" s="86">
        <f>VLOOKUP($B50,'Global Venture Capital'!$A$4:$S$19,V$1,0)</f>
        <v>4.0147695377729518E-2</v>
      </c>
      <c r="W50" s="86">
        <f>VLOOKUP($B50,'Global Venture Capital'!$A$4:$S$19,W$1,0)</f>
        <v>0.47255184267278255</v>
      </c>
      <c r="Y50" s="94">
        <f>SUM(H50,F50)/-E50</f>
        <v>1.8310305812584073</v>
      </c>
      <c r="Z50" s="94">
        <f>SUM(M50,K36:K50)/-SUM(J36:J50)</f>
        <v>1.8310305812584071</v>
      </c>
      <c r="AA50" s="38" t="b">
        <f>Y50=Z50</f>
        <v>1</v>
      </c>
    </row>
    <row r="51" spans="1:27" s="38" customFormat="1" ht="15">
      <c r="J51" s="28"/>
      <c r="K51" s="28"/>
      <c r="L51" s="86"/>
      <c r="M51" s="28"/>
      <c r="N51" s="52"/>
      <c r="O51" s="28"/>
      <c r="P51" s="28"/>
      <c r="Q51" s="28"/>
      <c r="R51" s="28"/>
    </row>
    <row r="52" spans="1:27" s="38" customFormat="1" ht="15">
      <c r="A52" s="38" t="s">
        <v>50</v>
      </c>
      <c r="B52" s="38">
        <v>1</v>
      </c>
      <c r="C52" s="10" t="s">
        <v>6</v>
      </c>
      <c r="D52" s="10">
        <f t="shared" ref="D52:D66" si="6">D4</f>
        <v>2025</v>
      </c>
      <c r="E52" s="86">
        <f>VLOOKUP($B52,'Global Fund of Funds'!$A$4:$S$19,E$1,0)</f>
        <v>-0.11518235000824913</v>
      </c>
      <c r="F52" s="86">
        <f>VLOOKUP($B52,'Global Fund of Funds'!$A$4:$S$19,F$1,0)</f>
        <v>0</v>
      </c>
      <c r="G52" s="86">
        <f>VLOOKUP($B52,'Global Fund of Funds'!$A$4:$S$19,G$1,0)</f>
        <v>-0.11518235000824913</v>
      </c>
      <c r="H52" s="86">
        <f>VLOOKUP($B52,'Global Fund of Funds'!$A$4:$S$19,H$1,0)</f>
        <v>0.10659816939878605</v>
      </c>
      <c r="J52" s="86">
        <f>VLOOKUP($B52,'Global Fund of Funds'!$A$4:$S$19,J$1,0)</f>
        <v>-0.11518235000824913</v>
      </c>
      <c r="K52" s="86">
        <f>VLOOKUP($B52,'Global Fund of Funds'!$A$4:$S$19,K$1,0)</f>
        <v>0</v>
      </c>
      <c r="L52" s="86">
        <f>VLOOKUP($B52,'Global Fund of Funds'!$A$4:$S$19,L$1,0)</f>
        <v>-0.11518235000824913</v>
      </c>
      <c r="M52" s="86">
        <f>VLOOKUP($B52,'Global Fund of Funds'!$A$4:$S$19,M$1,0)</f>
        <v>0.10659816939878605</v>
      </c>
      <c r="N52" s="52"/>
      <c r="O52" s="86">
        <f>VLOOKUP($B52,'Global Fund of Funds'!$A$4:$S$19,O$1,0)</f>
        <v>3.0010168924393198E-2</v>
      </c>
      <c r="P52" s="86">
        <f>VLOOKUP($B52,'Global Fund of Funds'!$A$4:$S$19,P$1,0)</f>
        <v>0</v>
      </c>
      <c r="Q52" s="86">
        <f>VLOOKUP($B52,'Global Fund of Funds'!$A$4:$S$19,Q$1,0)</f>
        <v>3.0010168924393198E-2</v>
      </c>
      <c r="R52" s="86">
        <f>VLOOKUP($B52,'Global Fund of Funds'!$A$4:$S$19,R$1,0)</f>
        <v>3.0850917722516632E-2</v>
      </c>
      <c r="T52" s="86">
        <f>VLOOKUP($B52,'Global Fund of Funds'!$A$4:$S$19,T$1,0)</f>
        <v>2.8137888283480943E-2</v>
      </c>
      <c r="U52" s="86">
        <f>VLOOKUP($B52,'Global Fund of Funds'!$A$4:$S$19,U$1,0)</f>
        <v>0</v>
      </c>
      <c r="V52" s="86">
        <f>VLOOKUP($B52,'Global Fund of Funds'!$A$4:$S$19,V$1,0)</f>
        <v>2.8137888283480943E-2</v>
      </c>
      <c r="W52" s="86">
        <f>VLOOKUP($B52,'Global Fund of Funds'!$A$4:$S$19,W$1,0)</f>
        <v>3.0850917722516632E-2</v>
      </c>
    </row>
    <row r="53" spans="1:27" s="38" customFormat="1" ht="15">
      <c r="A53" s="38" t="s">
        <v>50</v>
      </c>
      <c r="B53" s="38">
        <f>B52+1</f>
        <v>2</v>
      </c>
      <c r="C53" s="10" t="s">
        <v>7</v>
      </c>
      <c r="D53" s="10">
        <f t="shared" si="6"/>
        <v>2026</v>
      </c>
      <c r="E53" s="86">
        <f>VLOOKUP($B53,'Global Fund of Funds'!$A$4:$S$19,E$1,0)</f>
        <v>-0.27115224733285265</v>
      </c>
      <c r="F53" s="86">
        <f>VLOOKUP($B53,'Global Fund of Funds'!$A$4:$S$19,F$1,0)</f>
        <v>1.4131238819033637E-4</v>
      </c>
      <c r="G53" s="86">
        <f>VLOOKUP($B53,'Global Fund of Funds'!$A$4:$S$19,G$1,0)</f>
        <v>-0.27101093494466227</v>
      </c>
      <c r="H53" s="86">
        <f>VLOOKUP($B53,'Global Fund of Funds'!$A$4:$S$19,H$1,0)</f>
        <v>0.26700232490932874</v>
      </c>
      <c r="J53" s="86">
        <f>VLOOKUP($B53,'Global Fund of Funds'!$A$4:$S$19,J$1,0)</f>
        <v>-0.15596989732460351</v>
      </c>
      <c r="K53" s="86">
        <f>VLOOKUP($B53,'Global Fund of Funds'!$A$4:$S$19,K$1,0)</f>
        <v>1.4131238819033637E-4</v>
      </c>
      <c r="L53" s="86">
        <f>VLOOKUP($B53,'Global Fund of Funds'!$A$4:$S$19,L$1,0)</f>
        <v>-0.15582858493641316</v>
      </c>
      <c r="M53" s="86">
        <f>VLOOKUP($B53,'Global Fund of Funds'!$A$4:$S$19,M$1,0)</f>
        <v>0.26700232490932874</v>
      </c>
      <c r="N53" s="52"/>
      <c r="O53" s="86">
        <f>VLOOKUP($B53,'Global Fund of Funds'!$A$4:$S$19,O$1,0)</f>
        <v>4.9774526310111269E-2</v>
      </c>
      <c r="P53" s="86">
        <f>VLOOKUP($B53,'Global Fund of Funds'!$A$4:$S$19,P$1,0)</f>
        <v>3.2633474020327705E-4</v>
      </c>
      <c r="Q53" s="86">
        <f>VLOOKUP($B53,'Global Fund of Funds'!$A$4:$S$19,Q$1,0)</f>
        <v>4.9775596066331772E-2</v>
      </c>
      <c r="R53" s="86">
        <f>VLOOKUP($B53,'Global Fund of Funds'!$A$4:$S$19,R$1,0)</f>
        <v>6.291882498002084E-2</v>
      </c>
      <c r="T53" s="86">
        <f>VLOOKUP($B53,'Global Fund of Funds'!$A$4:$S$19,T$1,0)</f>
        <v>3.9710114964897091E-2</v>
      </c>
      <c r="U53" s="86">
        <f>VLOOKUP($B53,'Global Fund of Funds'!$A$4:$S$19,U$1,0)</f>
        <v>3.2633474020327705E-4</v>
      </c>
      <c r="V53" s="86">
        <f>VLOOKUP($B53,'Global Fund of Funds'!$A$4:$S$19,V$1,0)</f>
        <v>3.9711455839442696E-2</v>
      </c>
      <c r="W53" s="86">
        <f>VLOOKUP($B53,'Global Fund of Funds'!$A$4:$S$19,W$1,0)</f>
        <v>6.291882498002084E-2</v>
      </c>
    </row>
    <row r="54" spans="1:27" s="38" customFormat="1" ht="15">
      <c r="A54" s="38" t="s">
        <v>50</v>
      </c>
      <c r="B54" s="38">
        <f t="shared" ref="B54:B66" si="7">B53+1</f>
        <v>3</v>
      </c>
      <c r="C54" s="10" t="s">
        <v>8</v>
      </c>
      <c r="D54" s="10">
        <f t="shared" si="6"/>
        <v>2027</v>
      </c>
      <c r="E54" s="86">
        <f>VLOOKUP($B54,'Global Fund of Funds'!$A$4:$S$19,E$1,0)</f>
        <v>-0.47009770919601546</v>
      </c>
      <c r="F54" s="86">
        <f>VLOOKUP($B54,'Global Fund of Funds'!$A$4:$S$19,F$1,0)</f>
        <v>1.0309710781148321E-2</v>
      </c>
      <c r="G54" s="86">
        <f>VLOOKUP($B54,'Global Fund of Funds'!$A$4:$S$19,G$1,0)</f>
        <v>-0.45978799841486706</v>
      </c>
      <c r="H54" s="86">
        <f>VLOOKUP($B54,'Global Fund of Funds'!$A$4:$S$19,H$1,0)</f>
        <v>0.49643239845883369</v>
      </c>
      <c r="J54" s="86">
        <f>VLOOKUP($B54,'Global Fund of Funds'!$A$4:$S$19,J$1,0)</f>
        <v>-0.19894546186316281</v>
      </c>
      <c r="K54" s="86">
        <f>VLOOKUP($B54,'Global Fund of Funds'!$A$4:$S$19,K$1,0)</f>
        <v>1.0168398392957984E-2</v>
      </c>
      <c r="L54" s="86">
        <f>VLOOKUP($B54,'Global Fund of Funds'!$A$4:$S$19,L$1,0)</f>
        <v>-0.18877706347020481</v>
      </c>
      <c r="M54" s="86">
        <f>VLOOKUP($B54,'Global Fund of Funds'!$A$4:$S$19,M$1,0)</f>
        <v>0.49643239845883369</v>
      </c>
      <c r="N54" s="52"/>
      <c r="O54" s="86">
        <f>VLOOKUP($B54,'Global Fund of Funds'!$A$4:$S$19,O$1,0)</f>
        <v>7.2044206092382573E-2</v>
      </c>
      <c r="P54" s="86">
        <f>VLOOKUP($B54,'Global Fund of Funds'!$A$4:$S$19,P$1,0)</f>
        <v>8.3802637827478255E-3</v>
      </c>
      <c r="Q54" s="86">
        <f>VLOOKUP($B54,'Global Fund of Funds'!$A$4:$S$19,Q$1,0)</f>
        <v>7.2529969340612094E-2</v>
      </c>
      <c r="R54" s="86">
        <f>VLOOKUP($B54,'Global Fund of Funds'!$A$4:$S$19,R$1,0)</f>
        <v>0.12865934277221849</v>
      </c>
      <c r="T54" s="86">
        <f>VLOOKUP($B54,'Global Fund of Funds'!$A$4:$S$19,T$1,0)</f>
        <v>5.2085162590566378E-2</v>
      </c>
      <c r="U54" s="86">
        <f>VLOOKUP($B54,'Global Fund of Funds'!$A$4:$S$19,U$1,0)</f>
        <v>8.3739074932656938E-3</v>
      </c>
      <c r="V54" s="86">
        <f>VLOOKUP($B54,'Global Fund of Funds'!$A$4:$S$19,V$1,0)</f>
        <v>5.2754018698024388E-2</v>
      </c>
      <c r="W54" s="86">
        <f>VLOOKUP($B54,'Global Fund of Funds'!$A$4:$S$19,W$1,0)</f>
        <v>0.12865934277221849</v>
      </c>
    </row>
    <row r="55" spans="1:27" s="38" customFormat="1" ht="15">
      <c r="A55" s="38" t="s">
        <v>50</v>
      </c>
      <c r="B55" s="38">
        <f t="shared" si="7"/>
        <v>4</v>
      </c>
      <c r="C55" s="10" t="s">
        <v>9</v>
      </c>
      <c r="D55" s="10">
        <f t="shared" si="6"/>
        <v>2028</v>
      </c>
      <c r="E55" s="86">
        <f>VLOOKUP($B55,'Global Fund of Funds'!$A$4:$S$19,E$1,0)</f>
        <v>-0.65368453005511051</v>
      </c>
      <c r="F55" s="86">
        <f>VLOOKUP($B55,'Global Fund of Funds'!$A$4:$S$19,F$1,0)</f>
        <v>5.1436872352357242E-2</v>
      </c>
      <c r="G55" s="86">
        <f>VLOOKUP($B55,'Global Fund of Funds'!$A$4:$S$19,G$1,0)</f>
        <v>-0.60224765770275324</v>
      </c>
      <c r="H55" s="86">
        <f>VLOOKUP($B55,'Global Fund of Funds'!$A$4:$S$19,H$1,0)</f>
        <v>0.6860477892942678</v>
      </c>
      <c r="J55" s="86">
        <f>VLOOKUP($B55,'Global Fund of Funds'!$A$4:$S$19,J$1,0)</f>
        <v>-0.18358682085909508</v>
      </c>
      <c r="K55" s="86">
        <f>VLOOKUP($B55,'Global Fund of Funds'!$A$4:$S$19,K$1,0)</f>
        <v>4.1127161571208923E-2</v>
      </c>
      <c r="L55" s="86">
        <f>VLOOKUP($B55,'Global Fund of Funds'!$A$4:$S$19,L$1,0)</f>
        <v>-0.14245965928788618</v>
      </c>
      <c r="M55" s="86">
        <f>VLOOKUP($B55,'Global Fund of Funds'!$A$4:$S$19,M$1,0)</f>
        <v>0.6860477892942678</v>
      </c>
      <c r="N55" s="52"/>
      <c r="O55" s="86">
        <f>VLOOKUP($B55,'Global Fund of Funds'!$A$4:$S$19,O$1,0)</f>
        <v>7.9698443547573009E-2</v>
      </c>
      <c r="P55" s="86">
        <f>VLOOKUP($B55,'Global Fund of Funds'!$A$4:$S$19,P$1,0)</f>
        <v>4.1100169341485679E-2</v>
      </c>
      <c r="Q55" s="86">
        <f>VLOOKUP($B55,'Global Fund of Funds'!$A$4:$S$19,Q$1,0)</f>
        <v>8.967199018536659E-2</v>
      </c>
      <c r="R55" s="86">
        <f>VLOOKUP($B55,'Global Fund of Funds'!$A$4:$S$19,R$1,0)</f>
        <v>0.16778369990568387</v>
      </c>
      <c r="T55" s="86">
        <f>VLOOKUP($B55,'Global Fund of Funds'!$A$4:$S$19,T$1,0)</f>
        <v>3.4080408923954919E-2</v>
      </c>
      <c r="U55" s="86">
        <f>VLOOKUP($B55,'Global Fund of Funds'!$A$4:$S$19,U$1,0)</f>
        <v>4.0236738173345568E-2</v>
      </c>
      <c r="V55" s="86">
        <f>VLOOKUP($B55,'Global Fund of Funds'!$A$4:$S$19,V$1,0)</f>
        <v>5.2730156184619355E-2</v>
      </c>
      <c r="W55" s="86">
        <f>VLOOKUP($B55,'Global Fund of Funds'!$A$4:$S$19,W$1,0)</f>
        <v>0.16778369990568387</v>
      </c>
    </row>
    <row r="56" spans="1:27" s="38" customFormat="1" ht="15">
      <c r="A56" s="38" t="s">
        <v>50</v>
      </c>
      <c r="B56" s="38">
        <f t="shared" si="7"/>
        <v>5</v>
      </c>
      <c r="C56" s="10" t="s">
        <v>10</v>
      </c>
      <c r="D56" s="10">
        <f t="shared" si="6"/>
        <v>2029</v>
      </c>
      <c r="E56" s="86">
        <f>VLOOKUP($B56,'Global Fund of Funds'!$A$4:$S$19,E$1,0)</f>
        <v>-0.78082090720491382</v>
      </c>
      <c r="F56" s="86">
        <f>VLOOKUP($B56,'Global Fund of Funds'!$A$4:$S$19,F$1,0)</f>
        <v>0.11430677850680795</v>
      </c>
      <c r="G56" s="86">
        <f>VLOOKUP($B56,'Global Fund of Funds'!$A$4:$S$19,G$1,0)</f>
        <v>-0.66651412869810589</v>
      </c>
      <c r="H56" s="86">
        <f>VLOOKUP($B56,'Global Fund of Funds'!$A$4:$S$19,H$1,0)</f>
        <v>0.82698154050269324</v>
      </c>
      <c r="J56" s="86">
        <f>VLOOKUP($B56,'Global Fund of Funds'!$A$4:$S$19,J$1,0)</f>
        <v>-0.12713637714980333</v>
      </c>
      <c r="K56" s="86">
        <f>VLOOKUP($B56,'Global Fund of Funds'!$A$4:$S$19,K$1,0)</f>
        <v>6.2869906154450705E-2</v>
      </c>
      <c r="L56" s="86">
        <f>VLOOKUP($B56,'Global Fund of Funds'!$A$4:$S$19,L$1,0)</f>
        <v>-6.4266470995352626E-2</v>
      </c>
      <c r="M56" s="86">
        <f>VLOOKUP($B56,'Global Fund of Funds'!$A$4:$S$19,M$1,0)</f>
        <v>0.82698154050269324</v>
      </c>
      <c r="N56" s="52"/>
      <c r="O56" s="86">
        <f>VLOOKUP($B56,'Global Fund of Funds'!$A$4:$S$19,O$1,0)</f>
        <v>8.8773278047788021E-2</v>
      </c>
      <c r="P56" s="86">
        <f>VLOOKUP($B56,'Global Fund of Funds'!$A$4:$S$19,P$1,0)</f>
        <v>5.1606204567523316E-2</v>
      </c>
      <c r="Q56" s="86">
        <f>VLOOKUP($B56,'Global Fund of Funds'!$A$4:$S$19,Q$1,0)</f>
        <v>0.10268347113929753</v>
      </c>
      <c r="R56" s="86">
        <f>VLOOKUP($B56,'Global Fund of Funds'!$A$4:$S$19,R$1,0)</f>
        <v>0.1943693928392681</v>
      </c>
      <c r="T56" s="86">
        <f>VLOOKUP($B56,'Global Fund of Funds'!$A$4:$S$19,T$1,0)</f>
        <v>3.9100549758848684E-2</v>
      </c>
      <c r="U56" s="86">
        <f>VLOOKUP($B56,'Global Fund of Funds'!$A$4:$S$19,U$1,0)</f>
        <v>3.1208595450072166E-2</v>
      </c>
      <c r="V56" s="86">
        <f>VLOOKUP($B56,'Global Fund of Funds'!$A$4:$S$19,V$1,0)</f>
        <v>5.0028286213006208E-2</v>
      </c>
      <c r="W56" s="86">
        <f>VLOOKUP($B56,'Global Fund of Funds'!$A$4:$S$19,W$1,0)</f>
        <v>0.1943693928392681</v>
      </c>
    </row>
    <row r="57" spans="1:27" s="38" customFormat="1" ht="15">
      <c r="A57" s="38" t="s">
        <v>50</v>
      </c>
      <c r="B57" s="38">
        <f t="shared" si="7"/>
        <v>6</v>
      </c>
      <c r="C57" s="10" t="s">
        <v>11</v>
      </c>
      <c r="D57" s="10">
        <f t="shared" si="6"/>
        <v>2030</v>
      </c>
      <c r="E57" s="86">
        <f>VLOOKUP($B57,'Global Fund of Funds'!$A$4:$S$19,E$1,0)</f>
        <v>-0.86832055590494361</v>
      </c>
      <c r="F57" s="86">
        <f>VLOOKUP($B57,'Global Fund of Funds'!$A$4:$S$19,F$1,0)</f>
        <v>0.20061371804736905</v>
      </c>
      <c r="G57" s="86">
        <f>VLOOKUP($B57,'Global Fund of Funds'!$A$4:$S$19,G$1,0)</f>
        <v>-0.66770683785757468</v>
      </c>
      <c r="H57" s="86">
        <f>VLOOKUP($B57,'Global Fund of Funds'!$A$4:$S$19,H$1,0)</f>
        <v>0.9395577860228832</v>
      </c>
      <c r="J57" s="86">
        <f>VLOOKUP($B57,'Global Fund of Funds'!$A$4:$S$19,J$1,0)</f>
        <v>-8.7499648700029825E-2</v>
      </c>
      <c r="K57" s="86">
        <f>VLOOKUP($B57,'Global Fund of Funds'!$A$4:$S$19,K$1,0)</f>
        <v>8.6306939540561081E-2</v>
      </c>
      <c r="L57" s="86">
        <f>VLOOKUP($B57,'Global Fund of Funds'!$A$4:$S$19,L$1,0)</f>
        <v>-1.1927091594687439E-3</v>
      </c>
      <c r="M57" s="86">
        <f>VLOOKUP($B57,'Global Fund of Funds'!$A$4:$S$19,M$1,0)</f>
        <v>0.9395577860228832</v>
      </c>
      <c r="N57" s="52"/>
      <c r="O57" s="86">
        <f>VLOOKUP($B57,'Global Fund of Funds'!$A$4:$S$19,O$1,0)</f>
        <v>9.2808909743740342E-2</v>
      </c>
      <c r="P57" s="86">
        <f>VLOOKUP($B57,'Global Fund of Funds'!$A$4:$S$19,P$1,0)</f>
        <v>6.4103806124913898E-2</v>
      </c>
      <c r="Q57" s="86">
        <f>VLOOKUP($B57,'Global Fund of Funds'!$A$4:$S$19,Q$1,0)</f>
        <v>0.11279535312911738</v>
      </c>
      <c r="R57" s="86">
        <f>VLOOKUP($B57,'Global Fund of Funds'!$A$4:$S$19,R$1,0)</f>
        <v>0.2135532938338309</v>
      </c>
      <c r="T57" s="86">
        <f>VLOOKUP($B57,'Global Fund of Funds'!$A$4:$S$19,T$1,0)</f>
        <v>2.7070257340333123E-2</v>
      </c>
      <c r="U57" s="86">
        <f>VLOOKUP($B57,'Global Fund of Funds'!$A$4:$S$19,U$1,0)</f>
        <v>3.8027590113435837E-2</v>
      </c>
      <c r="V57" s="86">
        <f>VLOOKUP($B57,'Global Fund of Funds'!$A$4:$S$19,V$1,0)</f>
        <v>4.6678650819270071E-2</v>
      </c>
      <c r="W57" s="86">
        <f>VLOOKUP($B57,'Global Fund of Funds'!$A$4:$S$19,W$1,0)</f>
        <v>0.2135532938338309</v>
      </c>
    </row>
    <row r="58" spans="1:27" s="38" customFormat="1" ht="15">
      <c r="A58" s="38" t="s">
        <v>50</v>
      </c>
      <c r="B58" s="38">
        <f t="shared" si="7"/>
        <v>7</v>
      </c>
      <c r="C58" s="10" t="s">
        <v>12</v>
      </c>
      <c r="D58" s="10">
        <f t="shared" si="6"/>
        <v>2031</v>
      </c>
      <c r="E58" s="86">
        <f>VLOOKUP($B58,'Global Fund of Funds'!$A$4:$S$19,E$1,0)</f>
        <v>-0.92071816162535081</v>
      </c>
      <c r="F58" s="86">
        <f>VLOOKUP($B58,'Global Fund of Funds'!$A$4:$S$19,F$1,0)</f>
        <v>0.32893310460953196</v>
      </c>
      <c r="G58" s="86">
        <f>VLOOKUP($B58,'Global Fund of Funds'!$A$4:$S$19,G$1,0)</f>
        <v>-0.59178505701581907</v>
      </c>
      <c r="H58" s="86">
        <f>VLOOKUP($B58,'Global Fund of Funds'!$A$4:$S$19,H$1,0)</f>
        <v>0.99273251199783052</v>
      </c>
      <c r="J58" s="86">
        <f>VLOOKUP($B58,'Global Fund of Funds'!$A$4:$S$19,J$1,0)</f>
        <v>-5.2397605720407234E-2</v>
      </c>
      <c r="K58" s="86">
        <f>VLOOKUP($B58,'Global Fund of Funds'!$A$4:$S$19,K$1,0)</f>
        <v>0.12831938656216288</v>
      </c>
      <c r="L58" s="86">
        <f>VLOOKUP($B58,'Global Fund of Funds'!$A$4:$S$19,L$1,0)</f>
        <v>7.5921780841755646E-2</v>
      </c>
      <c r="M58" s="86">
        <f>VLOOKUP($B58,'Global Fund of Funds'!$A$4:$S$19,M$1,0)</f>
        <v>0.99273251199783052</v>
      </c>
      <c r="N58" s="52"/>
      <c r="O58" s="86">
        <f>VLOOKUP($B58,'Global Fund of Funds'!$A$4:$S$19,O$1,0)</f>
        <v>9.5512946527936252E-2</v>
      </c>
      <c r="P58" s="86">
        <f>VLOOKUP($B58,'Global Fund of Funds'!$A$4:$S$19,P$1,0)</f>
        <v>7.6287415392137389E-2</v>
      </c>
      <c r="Q58" s="86">
        <f>VLOOKUP($B58,'Global Fund of Funds'!$A$4:$S$19,Q$1,0)</f>
        <v>0.12223948912549061</v>
      </c>
      <c r="R58" s="86">
        <f>VLOOKUP($B58,'Global Fund of Funds'!$A$4:$S$19,R$1,0)</f>
        <v>0.23004839957067455</v>
      </c>
      <c r="T58" s="86">
        <f>VLOOKUP($B58,'Global Fund of Funds'!$A$4:$S$19,T$1,0)</f>
        <v>2.2566107919326079E-2</v>
      </c>
      <c r="U58" s="86">
        <f>VLOOKUP($B58,'Global Fund of Funds'!$A$4:$S$19,U$1,0)</f>
        <v>4.1357850373441467E-2</v>
      </c>
      <c r="V58" s="86">
        <f>VLOOKUP($B58,'Global Fund of Funds'!$A$4:$S$19,V$1,0)</f>
        <v>4.7113703039971755E-2</v>
      </c>
      <c r="W58" s="86">
        <f>VLOOKUP($B58,'Global Fund of Funds'!$A$4:$S$19,W$1,0)</f>
        <v>0.23004839957067455</v>
      </c>
    </row>
    <row r="59" spans="1:27" s="38" customFormat="1" ht="15">
      <c r="A59" s="38" t="s">
        <v>50</v>
      </c>
      <c r="B59" s="38">
        <f t="shared" si="7"/>
        <v>8</v>
      </c>
      <c r="C59" s="10" t="s">
        <v>13</v>
      </c>
      <c r="D59" s="10">
        <f t="shared" si="6"/>
        <v>2032</v>
      </c>
      <c r="E59" s="86">
        <f>VLOOKUP($B59,'Global Fund of Funds'!$A$4:$S$19,E$1,0)</f>
        <v>-0.95936270446111227</v>
      </c>
      <c r="F59" s="86">
        <f>VLOOKUP($B59,'Global Fund of Funds'!$A$4:$S$19,F$1,0)</f>
        <v>0.47973238671986729</v>
      </c>
      <c r="G59" s="86">
        <f>VLOOKUP($B59,'Global Fund of Funds'!$A$4:$S$19,G$1,0)</f>
        <v>-0.47963031774124526</v>
      </c>
      <c r="H59" s="86">
        <f>VLOOKUP($B59,'Global Fund of Funds'!$A$4:$S$19,H$1,0)</f>
        <v>1.0139480925577264</v>
      </c>
      <c r="J59" s="86">
        <f>VLOOKUP($B59,'Global Fund of Funds'!$A$4:$S$19,J$1,0)</f>
        <v>-3.8644542835761485E-2</v>
      </c>
      <c r="K59" s="86">
        <f>VLOOKUP($B59,'Global Fund of Funds'!$A$4:$S$19,K$1,0)</f>
        <v>0.1507992821103353</v>
      </c>
      <c r="L59" s="86">
        <f>VLOOKUP($B59,'Global Fund of Funds'!$A$4:$S$19,L$1,0)</f>
        <v>0.11215473927457381</v>
      </c>
      <c r="M59" s="86">
        <f>VLOOKUP($B59,'Global Fund of Funds'!$A$4:$S$19,M$1,0)</f>
        <v>1.0139480925577264</v>
      </c>
      <c r="N59" s="52"/>
      <c r="O59" s="86">
        <f>VLOOKUP($B59,'Global Fund of Funds'!$A$4:$S$19,O$1,0)</f>
        <v>9.6960700966909896E-2</v>
      </c>
      <c r="P59" s="86">
        <f>VLOOKUP($B59,'Global Fund of Funds'!$A$4:$S$19,P$1,0)</f>
        <v>8.8197541776179098E-2</v>
      </c>
      <c r="Q59" s="86">
        <f>VLOOKUP($B59,'Global Fund of Funds'!$A$4:$S$19,Q$1,0)</f>
        <v>0.13107320056882485</v>
      </c>
      <c r="R59" s="86">
        <f>VLOOKUP($B59,'Global Fund of Funds'!$A$4:$S$19,R$1,0)</f>
        <v>0.25027587218110398</v>
      </c>
      <c r="T59" s="86">
        <f>VLOOKUP($B59,'Global Fund of Funds'!$A$4:$S$19,T$1,0)</f>
        <v>1.6692949935410272E-2</v>
      </c>
      <c r="U59" s="86">
        <f>VLOOKUP($B59,'Global Fund of Funds'!$A$4:$S$19,U$1,0)</f>
        <v>4.4261005729065113E-2</v>
      </c>
      <c r="V59" s="86">
        <f>VLOOKUP($B59,'Global Fund of Funds'!$A$4:$S$19,V$1,0)</f>
        <v>4.7304240884876787E-2</v>
      </c>
      <c r="W59" s="86">
        <f>VLOOKUP($B59,'Global Fund of Funds'!$A$4:$S$19,W$1,0)</f>
        <v>0.25027587218110398</v>
      </c>
    </row>
    <row r="60" spans="1:27" s="38" customFormat="1" ht="15">
      <c r="A60" s="38" t="s">
        <v>50</v>
      </c>
      <c r="B60" s="38">
        <f t="shared" si="7"/>
        <v>9</v>
      </c>
      <c r="C60" s="10" t="s">
        <v>14</v>
      </c>
      <c r="D60" s="10">
        <f t="shared" si="6"/>
        <v>2033</v>
      </c>
      <c r="E60" s="86">
        <f>VLOOKUP($B60,'Global Fund of Funds'!$A$4:$S$19,E$1,0)</f>
        <v>-0.97937017990056485</v>
      </c>
      <c r="F60" s="86">
        <f>VLOOKUP($B60,'Global Fund of Funds'!$A$4:$S$19,F$1,0)</f>
        <v>0.64560129441280112</v>
      </c>
      <c r="G60" s="86">
        <f>VLOOKUP($B60,'Global Fund of Funds'!$A$4:$S$19,G$1,0)</f>
        <v>-0.33376888548776396</v>
      </c>
      <c r="H60" s="86">
        <f>VLOOKUP($B60,'Global Fund of Funds'!$A$4:$S$19,H$1,0)</f>
        <v>0.97084216466979323</v>
      </c>
      <c r="J60" s="86">
        <f>VLOOKUP($B60,'Global Fund of Funds'!$A$4:$S$19,J$1,0)</f>
        <v>-2.0007475439452572E-2</v>
      </c>
      <c r="K60" s="86">
        <f>VLOOKUP($B60,'Global Fund of Funds'!$A$4:$S$19,K$1,0)</f>
        <v>0.16586890769293389</v>
      </c>
      <c r="L60" s="86">
        <f>VLOOKUP($B60,'Global Fund of Funds'!$A$4:$S$19,L$1,0)</f>
        <v>0.1458614322534813</v>
      </c>
      <c r="M60" s="86">
        <f>VLOOKUP($B60,'Global Fund of Funds'!$A$4:$S$19,M$1,0)</f>
        <v>0.97084216466979323</v>
      </c>
      <c r="N60" s="52"/>
      <c r="O60" s="86">
        <f>VLOOKUP($B60,'Global Fund of Funds'!$A$4:$S$19,O$1,0)</f>
        <v>9.7512171704819475E-2</v>
      </c>
      <c r="P60" s="86">
        <f>VLOOKUP($B60,'Global Fund of Funds'!$A$4:$S$19,P$1,0)</f>
        <v>0.10057853106617635</v>
      </c>
      <c r="Q60" s="86">
        <f>VLOOKUP($B60,'Global Fund of Funds'!$A$4:$S$19,Q$1,0)</f>
        <v>0.1400880599552296</v>
      </c>
      <c r="R60" s="86">
        <f>VLOOKUP($B60,'Global Fund of Funds'!$A$4:$S$19,R$1,0)</f>
        <v>0.25833195078949184</v>
      </c>
      <c r="T60" s="86">
        <f>VLOOKUP($B60,'Global Fund of Funds'!$A$4:$S$19,T$1,0)</f>
        <v>1.0355969225315119E-2</v>
      </c>
      <c r="U60" s="86">
        <f>VLOOKUP($B60,'Global Fund of Funds'!$A$4:$S$19,U$1,0)</f>
        <v>4.8344953573966176E-2</v>
      </c>
      <c r="V60" s="86">
        <f>VLOOKUP($B60,'Global Fund of Funds'!$A$4:$S$19,V$1,0)</f>
        <v>4.9441689237571758E-2</v>
      </c>
      <c r="W60" s="86">
        <f>VLOOKUP($B60,'Global Fund of Funds'!$A$4:$S$19,W$1,0)</f>
        <v>0.25833195078949184</v>
      </c>
    </row>
    <row r="61" spans="1:27" s="38" customFormat="1" ht="15">
      <c r="A61" s="38" t="s">
        <v>50</v>
      </c>
      <c r="B61" s="38">
        <f t="shared" si="7"/>
        <v>10</v>
      </c>
      <c r="C61" s="10" t="s">
        <v>15</v>
      </c>
      <c r="D61" s="10">
        <f t="shared" si="6"/>
        <v>2034</v>
      </c>
      <c r="E61" s="86">
        <f>VLOOKUP($B61,'Global Fund of Funds'!$A$4:$S$19,E$1,0)</f>
        <v>-0.98785222089996505</v>
      </c>
      <c r="F61" s="86">
        <f>VLOOKUP($B61,'Global Fund of Funds'!$A$4:$S$19,F$1,0)</f>
        <v>0.81219371949502139</v>
      </c>
      <c r="G61" s="86">
        <f>VLOOKUP($B61,'Global Fund of Funds'!$A$4:$S$19,G$1,0)</f>
        <v>-0.17565850140494391</v>
      </c>
      <c r="H61" s="86">
        <f>VLOOKUP($B61,'Global Fund of Funds'!$A$4:$S$19,H$1,0)</f>
        <v>0.89305728153290864</v>
      </c>
      <c r="J61" s="86">
        <f>VLOOKUP($B61,'Global Fund of Funds'!$A$4:$S$19,J$1,0)</f>
        <v>-8.4820409994002307E-3</v>
      </c>
      <c r="K61" s="86">
        <f>VLOOKUP($B61,'Global Fund of Funds'!$A$4:$S$19,K$1,0)</f>
        <v>0.16659242508222027</v>
      </c>
      <c r="L61" s="86">
        <f>VLOOKUP($B61,'Global Fund of Funds'!$A$4:$S$19,L$1,0)</f>
        <v>0.15811038408282005</v>
      </c>
      <c r="M61" s="86">
        <f>VLOOKUP($B61,'Global Fund of Funds'!$A$4:$S$19,M$1,0)</f>
        <v>0.89305728153290864</v>
      </c>
      <c r="N61" s="52"/>
      <c r="O61" s="86">
        <f>VLOOKUP($B61,'Global Fund of Funds'!$A$4:$S$19,O$1,0)</f>
        <v>9.7713053826315954E-2</v>
      </c>
      <c r="P61" s="86">
        <f>VLOOKUP($B61,'Global Fund of Funds'!$A$4:$S$19,P$1,0)</f>
        <v>0.11449169130998089</v>
      </c>
      <c r="Q61" s="86">
        <f>VLOOKUP($B61,'Global Fund of Funds'!$A$4:$S$19,Q$1,0)</f>
        <v>0.1505197271691803</v>
      </c>
      <c r="R61" s="86">
        <f>VLOOKUP($B61,'Global Fund of Funds'!$A$4:$S$19,R$1,0)</f>
        <v>0.26693549267733219</v>
      </c>
      <c r="T61" s="86">
        <f>VLOOKUP($B61,'Global Fund of Funds'!$A$4:$S$19,T$1,0)</f>
        <v>6.2623683598397421E-3</v>
      </c>
      <c r="U61" s="86">
        <f>VLOOKUP($B61,'Global Fund of Funds'!$A$4:$S$19,U$1,0)</f>
        <v>5.4701978644196687E-2</v>
      </c>
      <c r="V61" s="86">
        <f>VLOOKUP($B61,'Global Fund of Funds'!$A$4:$S$19,V$1,0)</f>
        <v>5.5059274650729573E-2</v>
      </c>
      <c r="W61" s="86">
        <f>VLOOKUP($B61,'Global Fund of Funds'!$A$4:$S$19,W$1,0)</f>
        <v>0.26693549267733219</v>
      </c>
    </row>
    <row r="62" spans="1:27" s="38" customFormat="1" ht="15">
      <c r="A62" s="38" t="s">
        <v>50</v>
      </c>
      <c r="B62" s="38">
        <f t="shared" si="7"/>
        <v>11</v>
      </c>
      <c r="C62" s="10" t="s">
        <v>16</v>
      </c>
      <c r="D62" s="10">
        <f t="shared" si="6"/>
        <v>2035</v>
      </c>
      <c r="E62" s="86">
        <f>VLOOKUP($B62,'Global Fund of Funds'!$A$4:$S$19,E$1,0)</f>
        <v>-0.99443708921024876</v>
      </c>
      <c r="F62" s="86">
        <f>VLOOKUP($B62,'Global Fund of Funds'!$A$4:$S$19,F$1,0)</f>
        <v>0.95582540754526046</v>
      </c>
      <c r="G62" s="86">
        <f>VLOOKUP($B62,'Global Fund of Funds'!$A$4:$S$19,G$1,0)</f>
        <v>-3.8611681664988601E-2</v>
      </c>
      <c r="H62" s="86">
        <f>VLOOKUP($B62,'Global Fund of Funds'!$A$4:$S$19,H$1,0)</f>
        <v>0.80919076132721335</v>
      </c>
      <c r="J62" s="86">
        <f>VLOOKUP($B62,'Global Fund of Funds'!$A$4:$S$19,J$1,0)</f>
        <v>-6.5848683102837282E-3</v>
      </c>
      <c r="K62" s="86">
        <f>VLOOKUP($B62,'Global Fund of Funds'!$A$4:$S$19,K$1,0)</f>
        <v>0.14363168805023904</v>
      </c>
      <c r="L62" s="86">
        <f>VLOOKUP($B62,'Global Fund of Funds'!$A$4:$S$19,L$1,0)</f>
        <v>0.13704681973995531</v>
      </c>
      <c r="M62" s="86">
        <f>VLOOKUP($B62,'Global Fund of Funds'!$A$4:$S$19,M$1,0)</f>
        <v>0.80919076132721335</v>
      </c>
      <c r="N62" s="52"/>
      <c r="O62" s="86">
        <f>VLOOKUP($B62,'Global Fund of Funds'!$A$4:$S$19,O$1,0)</f>
        <v>9.7859013513478629E-2</v>
      </c>
      <c r="P62" s="86">
        <f>VLOOKUP($B62,'Global Fund of Funds'!$A$4:$S$19,P$1,0)</f>
        <v>0.12305946969432828</v>
      </c>
      <c r="Q62" s="86">
        <f>VLOOKUP($B62,'Global Fund of Funds'!$A$4:$S$19,Q$1,0)</f>
        <v>0.15722601441008574</v>
      </c>
      <c r="R62" s="86">
        <f>VLOOKUP($B62,'Global Fund of Funds'!$A$4:$S$19,R$1,0)</f>
        <v>0.27159505176377924</v>
      </c>
      <c r="T62" s="86">
        <f>VLOOKUP($B62,'Global Fund of Funds'!$A$4:$S$19,T$1,0)</f>
        <v>5.3428117846948172E-3</v>
      </c>
      <c r="U62" s="86">
        <f>VLOOKUP($B62,'Global Fund of Funds'!$A$4:$S$19,U$1,0)</f>
        <v>4.5114140825569804E-2</v>
      </c>
      <c r="V62" s="86">
        <f>VLOOKUP($B62,'Global Fund of Funds'!$A$4:$S$19,V$1,0)</f>
        <v>4.5429410520014653E-2</v>
      </c>
      <c r="W62" s="86">
        <f>VLOOKUP($B62,'Global Fund of Funds'!$A$4:$S$19,W$1,0)</f>
        <v>0.27159505176377924</v>
      </c>
    </row>
    <row r="63" spans="1:27" s="38" customFormat="1" ht="15">
      <c r="A63" s="38" t="s">
        <v>50</v>
      </c>
      <c r="B63" s="38">
        <f t="shared" si="7"/>
        <v>12</v>
      </c>
      <c r="C63" s="10" t="s">
        <v>17</v>
      </c>
      <c r="D63" s="10">
        <f t="shared" si="6"/>
        <v>2036</v>
      </c>
      <c r="E63" s="86">
        <f>VLOOKUP($B63,'Global Fund of Funds'!$A$4:$S$19,E$1,0)</f>
        <v>-0.99835989074606679</v>
      </c>
      <c r="F63" s="86">
        <f>VLOOKUP($B63,'Global Fund of Funds'!$A$4:$S$19,F$1,0)</f>
        <v>1.080948373946947</v>
      </c>
      <c r="G63" s="86">
        <f>VLOOKUP($B63,'Global Fund of Funds'!$A$4:$S$19,G$1,0)</f>
        <v>8.2588483200879928E-2</v>
      </c>
      <c r="H63" s="86">
        <f>VLOOKUP($B63,'Global Fund of Funds'!$A$4:$S$19,H$1,0)</f>
        <v>0.71837628281534438</v>
      </c>
      <c r="J63" s="86">
        <f>VLOOKUP($B63,'Global Fund of Funds'!$A$4:$S$19,J$1,0)</f>
        <v>-3.9228015358179855E-3</v>
      </c>
      <c r="K63" s="86">
        <f>VLOOKUP($B63,'Global Fund of Funds'!$A$4:$S$19,K$1,0)</f>
        <v>0.12512296640168652</v>
      </c>
      <c r="L63" s="86">
        <f>VLOOKUP($B63,'Global Fund of Funds'!$A$4:$S$19,L$1,0)</f>
        <v>0.12120016486586853</v>
      </c>
      <c r="M63" s="86">
        <f>VLOOKUP($B63,'Global Fund of Funds'!$A$4:$S$19,M$1,0)</f>
        <v>0.71837628281534438</v>
      </c>
      <c r="N63" s="52"/>
      <c r="O63" s="86">
        <f>VLOOKUP($B63,'Global Fund of Funds'!$A$4:$S$19,O$1,0)</f>
        <v>9.7932772438223487E-2</v>
      </c>
      <c r="P63" s="86">
        <f>VLOOKUP($B63,'Global Fund of Funds'!$A$4:$S$19,P$1,0)</f>
        <v>0.12982151120273225</v>
      </c>
      <c r="Q63" s="86">
        <f>VLOOKUP($B63,'Global Fund of Funds'!$A$4:$S$19,Q$1,0)</f>
        <v>0.16261750424969015</v>
      </c>
      <c r="R63" s="86">
        <f>VLOOKUP($B63,'Global Fund of Funds'!$A$4:$S$19,R$1,0)</f>
        <v>0.27711438070562516</v>
      </c>
      <c r="T63" s="86">
        <f>VLOOKUP($B63,'Global Fund of Funds'!$A$4:$S$19,T$1,0)</f>
        <v>3.8001831015982042E-3</v>
      </c>
      <c r="U63" s="86">
        <f>VLOOKUP($B63,'Global Fund of Funds'!$A$4:$S$19,U$1,0)</f>
        <v>4.1352045771785383E-2</v>
      </c>
      <c r="V63" s="86">
        <f>VLOOKUP($B63,'Global Fund of Funds'!$A$4:$S$19,V$1,0)</f>
        <v>4.1526293852419648E-2</v>
      </c>
      <c r="W63" s="86">
        <f>VLOOKUP($B63,'Global Fund of Funds'!$A$4:$S$19,W$1,0)</f>
        <v>0.27711438070562516</v>
      </c>
    </row>
    <row r="64" spans="1:27" s="38" customFormat="1" ht="15">
      <c r="A64" s="38" t="s">
        <v>50</v>
      </c>
      <c r="B64" s="38">
        <f t="shared" si="7"/>
        <v>13</v>
      </c>
      <c r="C64" s="10" t="s">
        <v>18</v>
      </c>
      <c r="D64" s="10">
        <f t="shared" si="6"/>
        <v>2037</v>
      </c>
      <c r="E64" s="86">
        <f>VLOOKUP($B64,'Global Fund of Funds'!$A$4:$S$19,E$1,0)</f>
        <v>-1.0006303696785956</v>
      </c>
      <c r="F64" s="86">
        <f>VLOOKUP($B64,'Global Fund of Funds'!$A$4:$S$19,F$1,0)</f>
        <v>1.1920968810050601</v>
      </c>
      <c r="G64" s="86">
        <f>VLOOKUP($B64,'Global Fund of Funds'!$A$4:$S$19,G$1,0)</f>
        <v>0.19146651132646414</v>
      </c>
      <c r="H64" s="86">
        <f>VLOOKUP($B64,'Global Fund of Funds'!$A$4:$S$19,H$1,0)</f>
        <v>0.63724882892228507</v>
      </c>
      <c r="J64" s="86">
        <f>VLOOKUP($B64,'Global Fund of Funds'!$A$4:$S$19,J$1,0)</f>
        <v>-2.2704789325289181E-3</v>
      </c>
      <c r="K64" s="86">
        <f>VLOOKUP($B64,'Global Fund of Funds'!$A$4:$S$19,K$1,0)</f>
        <v>0.11114850705811313</v>
      </c>
      <c r="L64" s="86">
        <f>VLOOKUP($B64,'Global Fund of Funds'!$A$4:$S$19,L$1,0)</f>
        <v>0.10887802812558421</v>
      </c>
      <c r="M64" s="86">
        <f>VLOOKUP($B64,'Global Fund of Funds'!$A$4:$S$19,M$1,0)</f>
        <v>0.63724882892228507</v>
      </c>
      <c r="N64" s="52"/>
      <c r="O64" s="86">
        <f>VLOOKUP($B64,'Global Fund of Funds'!$A$4:$S$19,O$1,0)</f>
        <v>9.79914709631345E-2</v>
      </c>
      <c r="P64" s="86">
        <f>VLOOKUP($B64,'Global Fund of Funds'!$A$4:$S$19,P$1,0)</f>
        <v>0.13423702552940098</v>
      </c>
      <c r="Q64" s="86">
        <f>VLOOKUP($B64,'Global Fund of Funds'!$A$4:$S$19,Q$1,0)</f>
        <v>0.16619839771941208</v>
      </c>
      <c r="R64" s="86">
        <f>VLOOKUP($B64,'Global Fund of Funds'!$A$4:$S$19,R$1,0)</f>
        <v>0.27995750495908489</v>
      </c>
      <c r="T64" s="86">
        <f>VLOOKUP($B64,'Global Fund of Funds'!$A$4:$S$19,T$1,0)</f>
        <v>3.3912334160253088E-3</v>
      </c>
      <c r="U64" s="86">
        <f>VLOOKUP($B64,'Global Fund of Funds'!$A$4:$S$19,U$1,0)</f>
        <v>3.4146072278080752E-2</v>
      </c>
      <c r="V64" s="86">
        <f>VLOOKUP($B64,'Global Fund of Funds'!$A$4:$S$19,V$1,0)</f>
        <v>3.4314060035237473E-2</v>
      </c>
      <c r="W64" s="86">
        <f>VLOOKUP($B64,'Global Fund of Funds'!$A$4:$S$19,W$1,0)</f>
        <v>0.27995750495908489</v>
      </c>
    </row>
    <row r="65" spans="1:27" s="38" customFormat="1" ht="15">
      <c r="A65" s="38" t="s">
        <v>50</v>
      </c>
      <c r="B65" s="38">
        <f t="shared" si="7"/>
        <v>14</v>
      </c>
      <c r="C65" s="10" t="s">
        <v>19</v>
      </c>
      <c r="D65" s="10">
        <f t="shared" si="6"/>
        <v>2038</v>
      </c>
      <c r="E65" s="86">
        <f>VLOOKUP($B65,'Global Fund of Funds'!$A$4:$S$19,E$1,0)</f>
        <v>-1.0033846975540912</v>
      </c>
      <c r="F65" s="86">
        <f>VLOOKUP($B65,'Global Fund of Funds'!$A$4:$S$19,F$1,0)</f>
        <v>1.2774828267401532</v>
      </c>
      <c r="G65" s="86">
        <f>VLOOKUP($B65,'Global Fund of Funds'!$A$4:$S$19,G$1,0)</f>
        <v>0.2740981291860618</v>
      </c>
      <c r="H65" s="86">
        <f>VLOOKUP($B65,'Global Fund of Funds'!$A$4:$S$19,H$1,0)</f>
        <v>0.57623795384598975</v>
      </c>
      <c r="J65" s="86">
        <f>VLOOKUP($B65,'Global Fund of Funds'!$A$4:$S$19,J$1,0)</f>
        <v>-2.7543278754954808E-3</v>
      </c>
      <c r="K65" s="86">
        <f>VLOOKUP($B65,'Global Fund of Funds'!$A$4:$S$19,K$1,0)</f>
        <v>8.5385945735093144E-2</v>
      </c>
      <c r="L65" s="86">
        <f>VLOOKUP($B65,'Global Fund of Funds'!$A$4:$S$19,L$1,0)</f>
        <v>8.2631617859597661E-2</v>
      </c>
      <c r="M65" s="86">
        <f>VLOOKUP($B65,'Global Fund of Funds'!$A$4:$S$19,M$1,0)</f>
        <v>0.57623795384598975</v>
      </c>
      <c r="N65" s="52"/>
      <c r="O65" s="86">
        <f>VLOOKUP($B65,'Global Fund of Funds'!$A$4:$S$19,O$1,0)</f>
        <v>9.8044943874901619E-2</v>
      </c>
      <c r="P65" s="86">
        <f>VLOOKUP($B65,'Global Fund of Funds'!$A$4:$S$19,P$1,0)</f>
        <v>0.13755806493802744</v>
      </c>
      <c r="Q65" s="86">
        <f>VLOOKUP($B65,'Global Fund of Funds'!$A$4:$S$19,Q$1,0)</f>
        <v>0.16892315486317197</v>
      </c>
      <c r="R65" s="86">
        <f>VLOOKUP($B65,'Global Fund of Funds'!$A$4:$S$19,R$1,0)</f>
        <v>0.2816997296613708</v>
      </c>
      <c r="T65" s="86">
        <f>VLOOKUP($B65,'Global Fund of Funds'!$A$4:$S$19,T$1,0)</f>
        <v>3.2376902127559922E-3</v>
      </c>
      <c r="U65" s="86">
        <f>VLOOKUP($B65,'Global Fund of Funds'!$A$4:$S$19,U$1,0)</f>
        <v>3.0044004501955563E-2</v>
      </c>
      <c r="V65" s="86">
        <f>VLOOKUP($B65,'Global Fund of Funds'!$A$4:$S$19,V$1,0)</f>
        <v>3.0217955662607324E-2</v>
      </c>
      <c r="W65" s="86">
        <f>VLOOKUP($B65,'Global Fund of Funds'!$A$4:$S$19,W$1,0)</f>
        <v>0.2816997296613708</v>
      </c>
    </row>
    <row r="66" spans="1:27" s="38" customFormat="1" ht="15">
      <c r="A66" s="38" t="s">
        <v>50</v>
      </c>
      <c r="B66" s="38">
        <f t="shared" si="7"/>
        <v>15</v>
      </c>
      <c r="C66" s="10" t="s">
        <v>20</v>
      </c>
      <c r="D66" s="10">
        <f t="shared" si="6"/>
        <v>2039</v>
      </c>
      <c r="E66" s="86">
        <f>VLOOKUP($B66,'Global Fund of Funds'!$A$4:$S$19,E$1,0)</f>
        <v>-1.0064449338789341</v>
      </c>
      <c r="F66" s="86">
        <f>VLOOKUP($B66,'Global Fund of Funds'!$A$4:$S$19,F$1,0)</f>
        <v>1.3456090897103392</v>
      </c>
      <c r="G66" s="86">
        <f>VLOOKUP($B66,'Global Fund of Funds'!$A$4:$S$19,G$1,0)</f>
        <v>0.33916415583140502</v>
      </c>
      <c r="H66" s="86">
        <f>VLOOKUP($B66,'Global Fund of Funds'!$A$4:$S$19,H$1,0)</f>
        <v>0.51694478627946894</v>
      </c>
      <c r="J66" s="86">
        <f>VLOOKUP($B66,'Global Fund of Funds'!$A$4:$S$19,J$1,0)</f>
        <v>-3.0602363248428289E-3</v>
      </c>
      <c r="K66" s="86">
        <f>VLOOKUP($B66,'Global Fund of Funds'!$A$4:$S$19,K$1,0)</f>
        <v>6.8126262970186036E-2</v>
      </c>
      <c r="L66" s="86">
        <f>VLOOKUP($B66,'Global Fund of Funds'!$A$4:$S$19,L$1,0)</f>
        <v>6.5066026645343208E-2</v>
      </c>
      <c r="M66" s="86">
        <f>VLOOKUP($B66,'Global Fund of Funds'!$A$4:$S$19,M$1,0)</f>
        <v>0.51694478627946894</v>
      </c>
      <c r="N66" s="52"/>
      <c r="O66" s="86">
        <f>VLOOKUP($B66,'Global Fund of Funds'!$A$4:$S$19,O$1,0)</f>
        <v>9.8127751232245874E-2</v>
      </c>
      <c r="P66" s="86">
        <f>VLOOKUP($B66,'Global Fund of Funds'!$A$4:$S$19,P$1,0)</f>
        <v>0.1401601907568687</v>
      </c>
      <c r="Q66" s="86">
        <f>VLOOKUP($B66,'Global Fund of Funds'!$A$4:$S$19,Q$1,0)</f>
        <v>0.1710962730011947</v>
      </c>
      <c r="R66" s="86">
        <f>VLOOKUP($B66,'Global Fund of Funds'!$A$4:$S$19,R$1,0)</f>
        <v>0.28223835463837998</v>
      </c>
      <c r="T66" s="86">
        <f>VLOOKUP($B66,'Global Fund of Funds'!$A$4:$S$19,T$1,0)</f>
        <v>4.0304518933890606E-3</v>
      </c>
      <c r="U66" s="86">
        <f>VLOOKUP($B66,'Global Fund of Funds'!$A$4:$S$19,U$1,0)</f>
        <v>2.6882296098124571E-2</v>
      </c>
      <c r="V66" s="86">
        <f>VLOOKUP($B66,'Global Fund of Funds'!$A$4:$S$19,V$1,0)</f>
        <v>2.718275898381485E-2</v>
      </c>
      <c r="W66" s="86">
        <f>VLOOKUP($B66,'Global Fund of Funds'!$A$4:$S$19,W$1,0)</f>
        <v>0.28223835463837998</v>
      </c>
      <c r="Y66" s="94">
        <f>SUM(H66,F66)/-E66</f>
        <v>1.8506267092143325</v>
      </c>
      <c r="Z66" s="94">
        <f>SUM(M66,K52:K66)/-SUM(J52:J66)</f>
        <v>1.8506267092143323</v>
      </c>
      <c r="AA66" s="38" t="b">
        <f>Y66=Z66</f>
        <v>1</v>
      </c>
    </row>
    <row r="67" spans="1:27" s="38" customFormat="1" ht="15">
      <c r="J67" s="28"/>
      <c r="K67" s="28"/>
      <c r="L67" s="86"/>
      <c r="M67" s="28"/>
      <c r="N67" s="52"/>
      <c r="O67" s="28"/>
      <c r="P67" s="28"/>
      <c r="Q67" s="28"/>
      <c r="R67" s="28"/>
    </row>
    <row r="68" spans="1:27" s="38" customFormat="1" ht="15">
      <c r="A68" s="38" t="s">
        <v>51</v>
      </c>
      <c r="B68" s="38">
        <v>1</v>
      </c>
      <c r="C68" s="10" t="s">
        <v>6</v>
      </c>
      <c r="D68" s="10">
        <f t="shared" ref="D68:D82" si="8">D4</f>
        <v>2025</v>
      </c>
      <c r="E68" s="86">
        <f>VLOOKUP($B68,'Global Secondary Funds'!$A$4:$S$19,E$1,0)</f>
        <v>-4.0860416703739633E-2</v>
      </c>
      <c r="F68" s="86">
        <f>VLOOKUP($B68,'Global Secondary Funds'!$A$4:$S$19,F$1,0)</f>
        <v>8.0788819798104214E-4</v>
      </c>
      <c r="G68" s="86">
        <f>VLOOKUP($B68,'Global Secondary Funds'!$A$4:$S$19,G$1,0)</f>
        <v>-4.0052528505758592E-2</v>
      </c>
      <c r="H68" s="86">
        <f>VLOOKUP($B68,'Global Secondary Funds'!$A$4:$S$19,H$1,0)</f>
        <v>4.6285790271121743E-2</v>
      </c>
      <c r="J68" s="86">
        <f>VLOOKUP($B68,'Global Secondary Funds'!$A$4:$S$19,J$1,0)</f>
        <v>-4.0860416703739633E-2</v>
      </c>
      <c r="K68" s="86">
        <f>VLOOKUP($B68,'Global Secondary Funds'!$A$4:$S$19,K$1,0)</f>
        <v>8.0788819798104214E-4</v>
      </c>
      <c r="L68" s="86">
        <f>VLOOKUP($B68,'Global Secondary Funds'!$A$4:$S$19,L$1,0)</f>
        <v>-4.0052528505758592E-2</v>
      </c>
      <c r="M68" s="86">
        <f>VLOOKUP($B68,'Global Secondary Funds'!$A$4:$S$19,M$1,0)</f>
        <v>4.6285790271121743E-2</v>
      </c>
      <c r="N68" s="52"/>
      <c r="O68" s="86">
        <f>VLOOKUP($B68,'Global Secondary Funds'!$A$4:$S$19,O$1,0)</f>
        <v>2.727915199816516E-2</v>
      </c>
      <c r="P68" s="86">
        <f>VLOOKUP($B68,'Global Secondary Funds'!$A$4:$S$19,P$1,0)</f>
        <v>2.1310926345630039E-3</v>
      </c>
      <c r="Q68" s="86">
        <f>VLOOKUP($B68,'Global Secondary Funds'!$A$4:$S$19,Q$1,0)</f>
        <v>2.7362267624524234E-2</v>
      </c>
      <c r="R68" s="86">
        <f>VLOOKUP($B68,'Global Secondary Funds'!$A$4:$S$19,R$1,0)</f>
        <v>3.1204142328747891E-2</v>
      </c>
      <c r="T68" s="86">
        <f>VLOOKUP($B68,'Global Secondary Funds'!$A$4:$S$19,T$1,0)</f>
        <v>2.727915199816516E-2</v>
      </c>
      <c r="U68" s="86">
        <f>VLOOKUP($B68,'Global Secondary Funds'!$A$4:$S$19,U$1,0)</f>
        <v>2.1310926345630039E-3</v>
      </c>
      <c r="V68" s="86">
        <f>VLOOKUP($B68,'Global Secondary Funds'!$A$4:$S$19,V$1,0)</f>
        <v>2.7362267624524234E-2</v>
      </c>
      <c r="W68" s="86">
        <f>VLOOKUP($B68,'Global Secondary Funds'!$A$4:$S$19,W$1,0)</f>
        <v>3.1204142328747891E-2</v>
      </c>
    </row>
    <row r="69" spans="1:27" s="38" customFormat="1" ht="15">
      <c r="A69" s="38" t="s">
        <v>51</v>
      </c>
      <c r="B69" s="38">
        <f>B68+1</f>
        <v>2</v>
      </c>
      <c r="C69" s="10" t="s">
        <v>7</v>
      </c>
      <c r="D69" s="10">
        <f t="shared" si="8"/>
        <v>2026</v>
      </c>
      <c r="E69" s="86">
        <f>VLOOKUP($B69,'Global Secondary Funds'!$A$4:$S$19,E$1,0)</f>
        <v>-0.27071453420538588</v>
      </c>
      <c r="F69" s="86">
        <f>VLOOKUP($B69,'Global Secondary Funds'!$A$4:$S$19,F$1,0)</f>
        <v>3.2251884043564133E-2</v>
      </c>
      <c r="G69" s="86">
        <f>VLOOKUP($B69,'Global Secondary Funds'!$A$4:$S$19,G$1,0)</f>
        <v>-0.23846265016182172</v>
      </c>
      <c r="H69" s="86">
        <f>VLOOKUP($B69,'Global Secondary Funds'!$A$4:$S$19,H$1,0)</f>
        <v>0.30324856974231629</v>
      </c>
      <c r="J69" s="86">
        <f>VLOOKUP($B69,'Global Secondary Funds'!$A$4:$S$19,J$1,0)</f>
        <v>-0.22985411750164625</v>
      </c>
      <c r="K69" s="86">
        <f>VLOOKUP($B69,'Global Secondary Funds'!$A$4:$S$19,K$1,0)</f>
        <v>3.1443995845583092E-2</v>
      </c>
      <c r="L69" s="86">
        <f>VLOOKUP($B69,'Global Secondary Funds'!$A$4:$S$19,L$1,0)</f>
        <v>-0.19841012165606314</v>
      </c>
      <c r="M69" s="86">
        <f>VLOOKUP($B69,'Global Secondary Funds'!$A$4:$S$19,M$1,0)</f>
        <v>0.30324856974231629</v>
      </c>
      <c r="N69" s="52"/>
      <c r="O69" s="86">
        <f>VLOOKUP($B69,'Global Secondary Funds'!$A$4:$S$19,O$1,0)</f>
        <v>8.8262310205080796E-2</v>
      </c>
      <c r="P69" s="86">
        <f>VLOOKUP($B69,'Global Secondary Funds'!$A$4:$S$19,P$1,0)</f>
        <v>1.9483777915281716E-2</v>
      </c>
      <c r="Q69" s="86">
        <f>VLOOKUP($B69,'Global Secondary Funds'!$A$4:$S$19,Q$1,0)</f>
        <v>9.0387239168977451E-2</v>
      </c>
      <c r="R69" s="86">
        <f>VLOOKUP($B69,'Global Secondary Funds'!$A$4:$S$19,R$1,0)</f>
        <v>9.7869627647437493E-2</v>
      </c>
      <c r="T69" s="86">
        <f>VLOOKUP($B69,'Global Secondary Funds'!$A$4:$S$19,T$1,0)</f>
        <v>8.3940951084669702E-2</v>
      </c>
      <c r="U69" s="86">
        <f>VLOOKUP($B69,'Global Secondary Funds'!$A$4:$S$19,U$1,0)</f>
        <v>1.936688013168179E-2</v>
      </c>
      <c r="V69" s="86">
        <f>VLOOKUP($B69,'Global Secondary Funds'!$A$4:$S$19,V$1,0)</f>
        <v>8.6146150900860585E-2</v>
      </c>
      <c r="W69" s="86">
        <f>VLOOKUP($B69,'Global Secondary Funds'!$A$4:$S$19,W$1,0)</f>
        <v>9.7869627647437493E-2</v>
      </c>
    </row>
    <row r="70" spans="1:27" s="38" customFormat="1" ht="15">
      <c r="A70" s="38" t="s">
        <v>51</v>
      </c>
      <c r="B70" s="38">
        <f t="shared" ref="B70:B82" si="9">B69+1</f>
        <v>3</v>
      </c>
      <c r="C70" s="10" t="s">
        <v>8</v>
      </c>
      <c r="D70" s="10">
        <f t="shared" si="8"/>
        <v>2027</v>
      </c>
      <c r="E70" s="86">
        <f>VLOOKUP($B70,'Global Secondary Funds'!$A$4:$S$19,E$1,0)</f>
        <v>-0.49076064234467176</v>
      </c>
      <c r="F70" s="86">
        <f>VLOOKUP($B70,'Global Secondary Funds'!$A$4:$S$19,F$1,0)</f>
        <v>0.11922804358324551</v>
      </c>
      <c r="G70" s="86">
        <f>VLOOKUP($B70,'Global Secondary Funds'!$A$4:$S$19,G$1,0)</f>
        <v>-0.37153259876142625</v>
      </c>
      <c r="H70" s="86">
        <f>VLOOKUP($B70,'Global Secondary Funds'!$A$4:$S$19,H$1,0)</f>
        <v>0.52996946355366148</v>
      </c>
      <c r="J70" s="86">
        <f>VLOOKUP($B70,'Global Secondary Funds'!$A$4:$S$19,J$1,0)</f>
        <v>-0.22004610813928591</v>
      </c>
      <c r="K70" s="86">
        <f>VLOOKUP($B70,'Global Secondary Funds'!$A$4:$S$19,K$1,0)</f>
        <v>8.697615953968138E-2</v>
      </c>
      <c r="L70" s="86">
        <f>VLOOKUP($B70,'Global Secondary Funds'!$A$4:$S$19,L$1,0)</f>
        <v>-0.13306994859960453</v>
      </c>
      <c r="M70" s="86">
        <f>VLOOKUP($B70,'Global Secondary Funds'!$A$4:$S$19,M$1,0)</f>
        <v>0.52996946355366148</v>
      </c>
      <c r="N70" s="52"/>
      <c r="O70" s="86">
        <f>VLOOKUP($B70,'Global Secondary Funds'!$A$4:$S$19,O$1,0)</f>
        <v>0.12145538402797887</v>
      </c>
      <c r="P70" s="86">
        <f>VLOOKUP($B70,'Global Secondary Funds'!$A$4:$S$19,P$1,0)</f>
        <v>3.808066439523982E-2</v>
      </c>
      <c r="Q70" s="86">
        <f>VLOOKUP($B70,'Global Secondary Funds'!$A$4:$S$19,Q$1,0)</f>
        <v>0.1272852988768409</v>
      </c>
      <c r="R70" s="86">
        <f>VLOOKUP($B70,'Global Secondary Funds'!$A$4:$S$19,R$1,0)</f>
        <v>0.15783216543754741</v>
      </c>
      <c r="T70" s="86">
        <f>VLOOKUP($B70,'Global Secondary Funds'!$A$4:$S$19,T$1,0)</f>
        <v>8.3433655719055699E-2</v>
      </c>
      <c r="U70" s="86">
        <f>VLOOKUP($B70,'Global Secondary Funds'!$A$4:$S$19,U$1,0)</f>
        <v>3.2718792748676812E-2</v>
      </c>
      <c r="V70" s="86">
        <f>VLOOKUP($B70,'Global Secondary Funds'!$A$4:$S$19,V$1,0)</f>
        <v>8.9619720517176246E-2</v>
      </c>
      <c r="W70" s="86">
        <f>VLOOKUP($B70,'Global Secondary Funds'!$A$4:$S$19,W$1,0)</f>
        <v>0.15783216543754741</v>
      </c>
    </row>
    <row r="71" spans="1:27" s="38" customFormat="1" ht="15">
      <c r="A71" s="38" t="s">
        <v>51</v>
      </c>
      <c r="B71" s="38">
        <f t="shared" si="9"/>
        <v>4</v>
      </c>
      <c r="C71" s="10" t="s">
        <v>9</v>
      </c>
      <c r="D71" s="10">
        <f t="shared" si="8"/>
        <v>2028</v>
      </c>
      <c r="E71" s="86">
        <f>VLOOKUP($B71,'Global Secondary Funds'!$A$4:$S$19,E$1,0)</f>
        <v>-0.63010534943728536</v>
      </c>
      <c r="F71" s="86">
        <f>VLOOKUP($B71,'Global Secondary Funds'!$A$4:$S$19,F$1,0)</f>
        <v>0.24483589461978292</v>
      </c>
      <c r="G71" s="86">
        <f>VLOOKUP($B71,'Global Secondary Funds'!$A$4:$S$19,G$1,0)</f>
        <v>-0.38526945481750247</v>
      </c>
      <c r="H71" s="86">
        <f>VLOOKUP($B71,'Global Secondary Funds'!$A$4:$S$19,H$1,0)</f>
        <v>0.6357272387095424</v>
      </c>
      <c r="J71" s="86">
        <f>VLOOKUP($B71,'Global Secondary Funds'!$A$4:$S$19,J$1,0)</f>
        <v>-0.13934470709261362</v>
      </c>
      <c r="K71" s="86">
        <f>VLOOKUP($B71,'Global Secondary Funds'!$A$4:$S$19,K$1,0)</f>
        <v>0.1256078510365374</v>
      </c>
      <c r="L71" s="86">
        <f>VLOOKUP($B71,'Global Secondary Funds'!$A$4:$S$19,L$1,0)</f>
        <v>-1.3736856056076219E-2</v>
      </c>
      <c r="M71" s="86">
        <f>VLOOKUP($B71,'Global Secondary Funds'!$A$4:$S$19,M$1,0)</f>
        <v>0.6357272387095424</v>
      </c>
      <c r="N71" s="52"/>
      <c r="O71" s="86">
        <f>VLOOKUP($B71,'Global Secondary Funds'!$A$4:$S$19,O$1,0)</f>
        <v>0.13725419519566789</v>
      </c>
      <c r="P71" s="86">
        <f>VLOOKUP($B71,'Global Secondary Funds'!$A$4:$S$19,P$1,0)</f>
        <v>6.1307245999765482E-2</v>
      </c>
      <c r="Q71" s="86">
        <f>VLOOKUP($B71,'Global Secondary Funds'!$A$4:$S$19,Q$1,0)</f>
        <v>0.15032395853917052</v>
      </c>
      <c r="R71" s="86">
        <f>VLOOKUP($B71,'Global Secondary Funds'!$A$4:$S$19,R$1,0)</f>
        <v>0.18162406816094948</v>
      </c>
      <c r="T71" s="86">
        <f>VLOOKUP($B71,'Global Secondary Funds'!$A$4:$S$19,T$1,0)</f>
        <v>6.3932024756194555E-2</v>
      </c>
      <c r="U71" s="86">
        <f>VLOOKUP($B71,'Global Secondary Funds'!$A$4:$S$19,U$1,0)</f>
        <v>4.8046242426363323E-2</v>
      </c>
      <c r="V71" s="86">
        <f>VLOOKUP($B71,'Global Secondary Funds'!$A$4:$S$19,V$1,0)</f>
        <v>7.9973403083272304E-2</v>
      </c>
      <c r="W71" s="86">
        <f>VLOOKUP($B71,'Global Secondary Funds'!$A$4:$S$19,W$1,0)</f>
        <v>0.18162406816094948</v>
      </c>
    </row>
    <row r="72" spans="1:27" s="38" customFormat="1" ht="15">
      <c r="A72" s="38" t="s">
        <v>51</v>
      </c>
      <c r="B72" s="38">
        <f t="shared" si="9"/>
        <v>5</v>
      </c>
      <c r="C72" s="10" t="s">
        <v>10</v>
      </c>
      <c r="D72" s="10">
        <f t="shared" si="8"/>
        <v>2029</v>
      </c>
      <c r="E72" s="86">
        <f>VLOOKUP($B72,'Global Secondary Funds'!$A$4:$S$19,E$1,0)</f>
        <v>-0.72293806361499113</v>
      </c>
      <c r="F72" s="86">
        <f>VLOOKUP($B72,'Global Secondary Funds'!$A$4:$S$19,F$1,0)</f>
        <v>0.39334244008297747</v>
      </c>
      <c r="G72" s="86">
        <f>VLOOKUP($B72,'Global Secondary Funds'!$A$4:$S$19,G$1,0)</f>
        <v>-0.32959562353201366</v>
      </c>
      <c r="H72" s="86">
        <f>VLOOKUP($B72,'Global Secondary Funds'!$A$4:$S$19,H$1,0)</f>
        <v>0.65114096038133074</v>
      </c>
      <c r="J72" s="86">
        <f>VLOOKUP($B72,'Global Secondary Funds'!$A$4:$S$19,J$1,0)</f>
        <v>-9.2832714177705805E-2</v>
      </c>
      <c r="K72" s="86">
        <f>VLOOKUP($B72,'Global Secondary Funds'!$A$4:$S$19,K$1,0)</f>
        <v>0.14850654546319458</v>
      </c>
      <c r="L72" s="86">
        <f>VLOOKUP($B72,'Global Secondary Funds'!$A$4:$S$19,L$1,0)</f>
        <v>5.5673831285488778E-2</v>
      </c>
      <c r="M72" s="86">
        <f>VLOOKUP($B72,'Global Secondary Funds'!$A$4:$S$19,M$1,0)</f>
        <v>0.65114096038133074</v>
      </c>
      <c r="N72" s="52"/>
      <c r="O72" s="86">
        <f>VLOOKUP($B72,'Global Secondary Funds'!$A$4:$S$19,O$1,0)</f>
        <v>0.14591231139827979</v>
      </c>
      <c r="P72" s="86">
        <f>VLOOKUP($B72,'Global Secondary Funds'!$A$4:$S$19,P$1,0)</f>
        <v>7.9115327710772107E-2</v>
      </c>
      <c r="Q72" s="86">
        <f>VLOOKUP($B72,'Global Secondary Funds'!$A$4:$S$19,Q$1,0)</f>
        <v>0.16598083532857469</v>
      </c>
      <c r="R72" s="86">
        <f>VLOOKUP($B72,'Global Secondary Funds'!$A$4:$S$19,R$1,0)</f>
        <v>0.20839511818554268</v>
      </c>
      <c r="T72" s="86">
        <f>VLOOKUP($B72,'Global Secondary Funds'!$A$4:$S$19,T$1,0)</f>
        <v>4.9514528360654578E-2</v>
      </c>
      <c r="U72" s="86">
        <f>VLOOKUP($B72,'Global Secondary Funds'!$A$4:$S$19,U$1,0)</f>
        <v>5.0006566235916518E-2</v>
      </c>
      <c r="V72" s="86">
        <f>VLOOKUP($B72,'Global Secondary Funds'!$A$4:$S$19,V$1,0)</f>
        <v>7.0372900931290117E-2</v>
      </c>
      <c r="W72" s="86">
        <f>VLOOKUP($B72,'Global Secondary Funds'!$A$4:$S$19,W$1,0)</f>
        <v>0.20839511818554268</v>
      </c>
    </row>
    <row r="73" spans="1:27" s="38" customFormat="1" ht="15">
      <c r="A73" s="38" t="s">
        <v>51</v>
      </c>
      <c r="B73" s="38">
        <f t="shared" si="9"/>
        <v>6</v>
      </c>
      <c r="C73" s="10" t="s">
        <v>11</v>
      </c>
      <c r="D73" s="10">
        <f t="shared" si="8"/>
        <v>2030</v>
      </c>
      <c r="E73" s="86">
        <f>VLOOKUP($B73,'Global Secondary Funds'!$A$4:$S$19,E$1,0)</f>
        <v>-0.75695580753514569</v>
      </c>
      <c r="F73" s="86">
        <f>VLOOKUP($B73,'Global Secondary Funds'!$A$4:$S$19,F$1,0)</f>
        <v>0.59956089854579753</v>
      </c>
      <c r="G73" s="86">
        <f>VLOOKUP($B73,'Global Secondary Funds'!$A$4:$S$19,G$1,0)</f>
        <v>-0.15739490898934819</v>
      </c>
      <c r="H73" s="86">
        <f>VLOOKUP($B73,'Global Secondary Funds'!$A$4:$S$19,H$1,0)</f>
        <v>0.57299200561493546</v>
      </c>
      <c r="J73" s="86">
        <f>VLOOKUP($B73,'Global Secondary Funds'!$A$4:$S$19,J$1,0)</f>
        <v>-3.4017743920154601E-2</v>
      </c>
      <c r="K73" s="86">
        <f>VLOOKUP($B73,'Global Secondary Funds'!$A$4:$S$19,K$1,0)</f>
        <v>0.20621845846282008</v>
      </c>
      <c r="L73" s="86">
        <f>VLOOKUP($B73,'Global Secondary Funds'!$A$4:$S$19,L$1,0)</f>
        <v>0.17220071454266547</v>
      </c>
      <c r="M73" s="86">
        <f>VLOOKUP($B73,'Global Secondary Funds'!$A$4:$S$19,M$1,0)</f>
        <v>0.57299200561493546</v>
      </c>
      <c r="N73" s="52"/>
      <c r="O73" s="86">
        <f>VLOOKUP($B73,'Global Secondary Funds'!$A$4:$S$19,O$1,0)</f>
        <v>0.14975986275656958</v>
      </c>
      <c r="P73" s="86">
        <f>VLOOKUP($B73,'Global Secondary Funds'!$A$4:$S$19,P$1,0)</f>
        <v>0.13219011963603375</v>
      </c>
      <c r="Q73" s="86">
        <f>VLOOKUP($B73,'Global Secondary Funds'!$A$4:$S$19,Q$1,0)</f>
        <v>0.19975546105740252</v>
      </c>
      <c r="R73" s="86">
        <f>VLOOKUP($B73,'Global Secondary Funds'!$A$4:$S$19,R$1,0)</f>
        <v>0.22425920851333364</v>
      </c>
      <c r="T73" s="86">
        <f>VLOOKUP($B73,'Global Secondary Funds'!$A$4:$S$19,T$1,0)</f>
        <v>3.3728532065270544E-2</v>
      </c>
      <c r="U73" s="86">
        <f>VLOOKUP($B73,'Global Secondary Funds'!$A$4:$S$19,U$1,0)</f>
        <v>0.10590086236951071</v>
      </c>
      <c r="V73" s="86">
        <f>VLOOKUP($B73,'Global Secondary Funds'!$A$4:$S$19,V$1,0)</f>
        <v>0.11114228055013102</v>
      </c>
      <c r="W73" s="86">
        <f>VLOOKUP($B73,'Global Secondary Funds'!$A$4:$S$19,W$1,0)</f>
        <v>0.22425920851333364</v>
      </c>
    </row>
    <row r="74" spans="1:27" s="38" customFormat="1" ht="15">
      <c r="A74" s="38" t="s">
        <v>51</v>
      </c>
      <c r="B74" s="38">
        <f t="shared" si="9"/>
        <v>7</v>
      </c>
      <c r="C74" s="10" t="s">
        <v>12</v>
      </c>
      <c r="D74" s="10">
        <f t="shared" si="8"/>
        <v>2031</v>
      </c>
      <c r="E74" s="86">
        <f>VLOOKUP($B74,'Global Secondary Funds'!$A$4:$S$19,E$1,0)</f>
        <v>-0.78034504830075924</v>
      </c>
      <c r="F74" s="86">
        <f>VLOOKUP($B74,'Global Secondary Funds'!$A$4:$S$19,F$1,0)</f>
        <v>0.73860833986897467</v>
      </c>
      <c r="G74" s="86">
        <f>VLOOKUP($B74,'Global Secondary Funds'!$A$4:$S$19,G$1,0)</f>
        <v>-4.1736708431784564E-2</v>
      </c>
      <c r="H74" s="86">
        <f>VLOOKUP($B74,'Global Secondary Funds'!$A$4:$S$19,H$1,0)</f>
        <v>0.4887410881798876</v>
      </c>
      <c r="J74" s="86">
        <f>VLOOKUP($B74,'Global Secondary Funds'!$A$4:$S$19,J$1,0)</f>
        <v>-2.3389240765613543E-2</v>
      </c>
      <c r="K74" s="86">
        <f>VLOOKUP($B74,'Global Secondary Funds'!$A$4:$S$19,K$1,0)</f>
        <v>0.13904744132317717</v>
      </c>
      <c r="L74" s="86">
        <f>VLOOKUP($B74,'Global Secondary Funds'!$A$4:$S$19,L$1,0)</f>
        <v>0.11565820055756362</v>
      </c>
      <c r="M74" s="86">
        <f>VLOOKUP($B74,'Global Secondary Funds'!$A$4:$S$19,M$1,0)</f>
        <v>0.4887410881798876</v>
      </c>
      <c r="N74" s="52"/>
      <c r="O74" s="86">
        <f>VLOOKUP($B74,'Global Secondary Funds'!$A$4:$S$19,O$1,0)</f>
        <v>0.15144058057651141</v>
      </c>
      <c r="P74" s="86">
        <f>VLOOKUP($B74,'Global Secondary Funds'!$A$4:$S$19,P$1,0)</f>
        <v>0.14301068081057863</v>
      </c>
      <c r="Q74" s="86">
        <f>VLOOKUP($B74,'Global Secondary Funds'!$A$4:$S$19,Q$1,0)</f>
        <v>0.20829379316546145</v>
      </c>
      <c r="R74" s="86">
        <f>VLOOKUP($B74,'Global Secondary Funds'!$A$4:$S$19,R$1,0)</f>
        <v>0.23338132042598475</v>
      </c>
      <c r="T74" s="86">
        <f>VLOOKUP($B74,'Global Secondary Funds'!$A$4:$S$19,T$1,0)</f>
        <v>2.249962116312822E-2</v>
      </c>
      <c r="U74" s="86">
        <f>VLOOKUP($B74,'Global Secondary Funds'!$A$4:$S$19,U$1,0)</f>
        <v>5.456947037049463E-2</v>
      </c>
      <c r="V74" s="86">
        <f>VLOOKUP($B74,'Global Secondary Funds'!$A$4:$S$19,V$1,0)</f>
        <v>5.9025926921994022E-2</v>
      </c>
      <c r="W74" s="86">
        <f>VLOOKUP($B74,'Global Secondary Funds'!$A$4:$S$19,W$1,0)</f>
        <v>0.23338132042598475</v>
      </c>
    </row>
    <row r="75" spans="1:27" s="38" customFormat="1" ht="15">
      <c r="A75" s="38" t="s">
        <v>51</v>
      </c>
      <c r="B75" s="38">
        <f t="shared" si="9"/>
        <v>8</v>
      </c>
      <c r="C75" s="10" t="s">
        <v>13</v>
      </c>
      <c r="D75" s="10">
        <f t="shared" si="8"/>
        <v>2032</v>
      </c>
      <c r="E75" s="86">
        <f>VLOOKUP($B75,'Global Secondary Funds'!$A$4:$S$19,E$1,0)</f>
        <v>-0.78626492043526819</v>
      </c>
      <c r="F75" s="86">
        <f>VLOOKUP($B75,'Global Secondary Funds'!$A$4:$S$19,F$1,0)</f>
        <v>0.87593519033906186</v>
      </c>
      <c r="G75" s="86">
        <f>VLOOKUP($B75,'Global Secondary Funds'!$A$4:$S$19,G$1,0)</f>
        <v>8.967026990379362E-2</v>
      </c>
      <c r="H75" s="86">
        <f>VLOOKUP($B75,'Global Secondary Funds'!$A$4:$S$19,H$1,0)</f>
        <v>0.38330053521494212</v>
      </c>
      <c r="J75" s="86">
        <f>VLOOKUP($B75,'Global Secondary Funds'!$A$4:$S$19,J$1,0)</f>
        <v>-5.9198721345089713E-3</v>
      </c>
      <c r="K75" s="86">
        <f>VLOOKUP($B75,'Global Secondary Funds'!$A$4:$S$19,K$1,0)</f>
        <v>0.13732685047008716</v>
      </c>
      <c r="L75" s="86">
        <f>VLOOKUP($B75,'Global Secondary Funds'!$A$4:$S$19,L$1,0)</f>
        <v>0.13140697833557818</v>
      </c>
      <c r="M75" s="86">
        <f>VLOOKUP($B75,'Global Secondary Funds'!$A$4:$S$19,M$1,0)</f>
        <v>0.38330053521494212</v>
      </c>
      <c r="N75" s="52"/>
      <c r="O75" s="86">
        <f>VLOOKUP($B75,'Global Secondary Funds'!$A$4:$S$19,O$1,0)</f>
        <v>0.15165721438619667</v>
      </c>
      <c r="P75" s="86">
        <f>VLOOKUP($B75,'Global Secondary Funds'!$A$4:$S$19,P$1,0)</f>
        <v>0.16322421749845625</v>
      </c>
      <c r="Q75" s="86">
        <f>VLOOKUP($B75,'Global Secondary Funds'!$A$4:$S$19,Q$1,0)</f>
        <v>0.22280497268545008</v>
      </c>
      <c r="R75" s="86">
        <f>VLOOKUP($B75,'Global Secondary Funds'!$A$4:$S$19,R$1,0)</f>
        <v>0.23932414086999021</v>
      </c>
      <c r="T75" s="86">
        <f>VLOOKUP($B75,'Global Secondary Funds'!$A$4:$S$19,T$1,0)</f>
        <v>8.1031617304584986E-3</v>
      </c>
      <c r="U75" s="86">
        <f>VLOOKUP($B75,'Global Secondary Funds'!$A$4:$S$19,U$1,0)</f>
        <v>7.8677127248509435E-2</v>
      </c>
      <c r="V75" s="86">
        <f>VLOOKUP($B75,'Global Secondary Funds'!$A$4:$S$19,V$1,0)</f>
        <v>7.909330933845235E-2</v>
      </c>
      <c r="W75" s="86">
        <f>VLOOKUP($B75,'Global Secondary Funds'!$A$4:$S$19,W$1,0)</f>
        <v>0.23932414086999021</v>
      </c>
    </row>
    <row r="76" spans="1:27" s="38" customFormat="1" ht="15">
      <c r="A76" s="38" t="s">
        <v>51</v>
      </c>
      <c r="B76" s="38">
        <f t="shared" si="9"/>
        <v>9</v>
      </c>
      <c r="C76" s="10" t="s">
        <v>14</v>
      </c>
      <c r="D76" s="10">
        <f t="shared" si="8"/>
        <v>2033</v>
      </c>
      <c r="E76" s="86">
        <f>VLOOKUP($B76,'Global Secondary Funds'!$A$4:$S$19,E$1,0)</f>
        <v>-0.79285052215915242</v>
      </c>
      <c r="F76" s="86">
        <f>VLOOKUP($B76,'Global Secondary Funds'!$A$4:$S$19,F$1,0)</f>
        <v>0.98843054458129842</v>
      </c>
      <c r="G76" s="86">
        <f>VLOOKUP($B76,'Global Secondary Funds'!$A$4:$S$19,G$1,0)</f>
        <v>0.19558002242214589</v>
      </c>
      <c r="H76" s="86">
        <f>VLOOKUP($B76,'Global Secondary Funds'!$A$4:$S$19,H$1,0)</f>
        <v>0.32645179133766156</v>
      </c>
      <c r="J76" s="86">
        <f>VLOOKUP($B76,'Global Secondary Funds'!$A$4:$S$19,J$1,0)</f>
        <v>-6.5856017238842563E-3</v>
      </c>
      <c r="K76" s="86">
        <f>VLOOKUP($B76,'Global Secondary Funds'!$A$4:$S$19,K$1,0)</f>
        <v>0.11249535424223651</v>
      </c>
      <c r="L76" s="86">
        <f>VLOOKUP($B76,'Global Secondary Funds'!$A$4:$S$19,L$1,0)</f>
        <v>0.10590975251835226</v>
      </c>
      <c r="M76" s="86">
        <f>VLOOKUP($B76,'Global Secondary Funds'!$A$4:$S$19,M$1,0)</f>
        <v>0.32645179133766156</v>
      </c>
      <c r="N76" s="52"/>
      <c r="O76" s="86">
        <f>VLOOKUP($B76,'Global Secondary Funds'!$A$4:$S$19,O$1,0)</f>
        <v>0.1518991949901847</v>
      </c>
      <c r="P76" s="86">
        <f>VLOOKUP($B76,'Global Secondary Funds'!$A$4:$S$19,P$1,0)</f>
        <v>0.17610303119622275</v>
      </c>
      <c r="Q76" s="86">
        <f>VLOOKUP($B76,'Global Secondary Funds'!$A$4:$S$19,Q$1,0)</f>
        <v>0.23256320223793778</v>
      </c>
      <c r="R76" s="86">
        <f>VLOOKUP($B76,'Global Secondary Funds'!$A$4:$S$19,R$1,0)</f>
        <v>0.24535362511459138</v>
      </c>
      <c r="T76" s="86">
        <f>VLOOKUP($B76,'Global Secondary Funds'!$A$4:$S$19,T$1,0)</f>
        <v>8.5705754349012456E-3</v>
      </c>
      <c r="U76" s="86">
        <f>VLOOKUP($B76,'Global Secondary Funds'!$A$4:$S$19,U$1,0)</f>
        <v>6.6106977078932108E-2</v>
      </c>
      <c r="V76" s="86">
        <f>VLOOKUP($B76,'Global Secondary Funds'!$A$4:$S$19,V$1,0)</f>
        <v>6.6660236886766228E-2</v>
      </c>
      <c r="W76" s="86">
        <f>VLOOKUP($B76,'Global Secondary Funds'!$A$4:$S$19,W$1,0)</f>
        <v>0.24535362511459138</v>
      </c>
    </row>
    <row r="77" spans="1:27" s="38" customFormat="1" ht="15">
      <c r="A77" s="38" t="s">
        <v>51</v>
      </c>
      <c r="B77" s="38">
        <f t="shared" si="9"/>
        <v>10</v>
      </c>
      <c r="C77" s="10" t="s">
        <v>15</v>
      </c>
      <c r="D77" s="10">
        <f t="shared" si="8"/>
        <v>2034</v>
      </c>
      <c r="E77" s="86">
        <f>VLOOKUP($B77,'Global Secondary Funds'!$A$4:$S$19,E$1,0)</f>
        <v>-0.79711909534565117</v>
      </c>
      <c r="F77" s="86">
        <f>VLOOKUP($B77,'Global Secondary Funds'!$A$4:$S$19,F$1,0)</f>
        <v>1.0471187414176191</v>
      </c>
      <c r="G77" s="86">
        <f>VLOOKUP($B77,'Global Secondary Funds'!$A$4:$S$19,G$1,0)</f>
        <v>0.2499996460719679</v>
      </c>
      <c r="H77" s="86">
        <f>VLOOKUP($B77,'Global Secondary Funds'!$A$4:$S$19,H$1,0)</f>
        <v>0.2446882666144333</v>
      </c>
      <c r="J77" s="86">
        <f>VLOOKUP($B77,'Global Secondary Funds'!$A$4:$S$19,J$1,0)</f>
        <v>-4.2685731864987326E-3</v>
      </c>
      <c r="K77" s="86">
        <f>VLOOKUP($B77,'Global Secondary Funds'!$A$4:$S$19,K$1,0)</f>
        <v>5.8688196836320747E-2</v>
      </c>
      <c r="L77" s="86">
        <f>VLOOKUP($B77,'Global Secondary Funds'!$A$4:$S$19,L$1,0)</f>
        <v>5.4419623649822016E-2</v>
      </c>
      <c r="M77" s="86">
        <f>VLOOKUP($B77,'Global Secondary Funds'!$A$4:$S$19,M$1,0)</f>
        <v>0.2446882666144333</v>
      </c>
      <c r="N77" s="52"/>
      <c r="O77" s="86">
        <f>VLOOKUP($B77,'Global Secondary Funds'!$A$4:$S$19,O$1,0)</f>
        <v>0.15203231636699255</v>
      </c>
      <c r="P77" s="86">
        <f>VLOOKUP($B77,'Global Secondary Funds'!$A$4:$S$19,P$1,0)</f>
        <v>0.17853032194883675</v>
      </c>
      <c r="Q77" s="86">
        <f>VLOOKUP($B77,'Global Secondary Funds'!$A$4:$S$19,Q$1,0)</f>
        <v>0.23449285932639527</v>
      </c>
      <c r="R77" s="86">
        <f>VLOOKUP($B77,'Global Secondary Funds'!$A$4:$S$19,R$1,0)</f>
        <v>0.24706400754845542</v>
      </c>
      <c r="T77" s="86">
        <f>VLOOKUP($B77,'Global Secondary Funds'!$A$4:$S$19,T$1,0)</f>
        <v>6.3608003621523886E-3</v>
      </c>
      <c r="U77" s="86">
        <f>VLOOKUP($B77,'Global Secondary Funds'!$A$4:$S$19,U$1,0)</f>
        <v>2.9339363637568863E-2</v>
      </c>
      <c r="V77" s="86">
        <f>VLOOKUP($B77,'Global Secondary Funds'!$A$4:$S$19,V$1,0)</f>
        <v>3.0020960009710815E-2</v>
      </c>
      <c r="W77" s="86">
        <f>VLOOKUP($B77,'Global Secondary Funds'!$A$4:$S$19,W$1,0)</f>
        <v>0.24706400754845542</v>
      </c>
    </row>
    <row r="78" spans="1:27" s="38" customFormat="1" ht="15">
      <c r="A78" s="38" t="s">
        <v>51</v>
      </c>
      <c r="B78" s="38">
        <f t="shared" si="9"/>
        <v>11</v>
      </c>
      <c r="C78" s="10" t="s">
        <v>16</v>
      </c>
      <c r="D78" s="10">
        <f t="shared" si="8"/>
        <v>2035</v>
      </c>
      <c r="E78" s="86">
        <f>VLOOKUP($B78,'Global Secondary Funds'!$A$4:$S$19,E$1,0)</f>
        <v>-0.79827202144995779</v>
      </c>
      <c r="F78" s="86">
        <f>VLOOKUP($B78,'Global Secondary Funds'!$A$4:$S$19,F$1,0)</f>
        <v>1.1174886889909121</v>
      </c>
      <c r="G78" s="86">
        <f>VLOOKUP($B78,'Global Secondary Funds'!$A$4:$S$19,G$1,0)</f>
        <v>0.31921666754095429</v>
      </c>
      <c r="H78" s="86">
        <f>VLOOKUP($B78,'Global Secondary Funds'!$A$4:$S$19,H$1,0)</f>
        <v>0.19101052580967276</v>
      </c>
      <c r="J78" s="86">
        <f>VLOOKUP($B78,'Global Secondary Funds'!$A$4:$S$19,J$1,0)</f>
        <v>-1.1529261043066541E-3</v>
      </c>
      <c r="K78" s="86">
        <f>VLOOKUP($B78,'Global Secondary Funds'!$A$4:$S$19,K$1,0)</f>
        <v>7.036994757329304E-2</v>
      </c>
      <c r="L78" s="86">
        <f>VLOOKUP($B78,'Global Secondary Funds'!$A$4:$S$19,L$1,0)</f>
        <v>6.9217021468986381E-2</v>
      </c>
      <c r="M78" s="86">
        <f>VLOOKUP($B78,'Global Secondary Funds'!$A$4:$S$19,M$1,0)</f>
        <v>0.19101052580967276</v>
      </c>
      <c r="N78" s="52"/>
      <c r="O78" s="86">
        <f>VLOOKUP($B78,'Global Secondary Funds'!$A$4:$S$19,O$1,0)</f>
        <v>0.15205768554037222</v>
      </c>
      <c r="P78" s="86">
        <f>VLOOKUP($B78,'Global Secondary Funds'!$A$4:$S$19,P$1,0)</f>
        <v>0.1803556993597619</v>
      </c>
      <c r="Q78" s="86">
        <f>VLOOKUP($B78,'Global Secondary Funds'!$A$4:$S$19,Q$1,0)</f>
        <v>0.23590192458613712</v>
      </c>
      <c r="R78" s="86">
        <f>VLOOKUP($B78,'Global Secondary Funds'!$A$4:$S$19,R$1,0)</f>
        <v>0.24865102470759071</v>
      </c>
      <c r="T78" s="86">
        <f>VLOOKUP($B78,'Global Secondary Funds'!$A$4:$S$19,T$1,0)</f>
        <v>2.7775010317569815E-3</v>
      </c>
      <c r="U78" s="86">
        <f>VLOOKUP($B78,'Global Secondary Funds'!$A$4:$S$19,U$1,0)</f>
        <v>2.5594968966449607E-2</v>
      </c>
      <c r="V78" s="86">
        <f>VLOOKUP($B78,'Global Secondary Funds'!$A$4:$S$19,V$1,0)</f>
        <v>2.5745231565766302E-2</v>
      </c>
      <c r="W78" s="86">
        <f>VLOOKUP($B78,'Global Secondary Funds'!$A$4:$S$19,W$1,0)</f>
        <v>0.24865102470759071</v>
      </c>
    </row>
    <row r="79" spans="1:27" s="38" customFormat="1" ht="15">
      <c r="A79" s="38" t="s">
        <v>51</v>
      </c>
      <c r="B79" s="38">
        <f t="shared" si="9"/>
        <v>12</v>
      </c>
      <c r="C79" s="10" t="s">
        <v>17</v>
      </c>
      <c r="D79" s="10">
        <f t="shared" si="8"/>
        <v>2036</v>
      </c>
      <c r="E79" s="86">
        <f>VLOOKUP($B79,'Global Secondary Funds'!$A$4:$S$19,E$1,0)</f>
        <v>-0.79837522016332452</v>
      </c>
      <c r="F79" s="86">
        <f>VLOOKUP($B79,'Global Secondary Funds'!$A$4:$S$19,F$1,0)</f>
        <v>1.1834899622427009</v>
      </c>
      <c r="G79" s="86">
        <f>VLOOKUP($B79,'Global Secondary Funds'!$A$4:$S$19,G$1,0)</f>
        <v>0.38511474207937629</v>
      </c>
      <c r="H79" s="86">
        <f>VLOOKUP($B79,'Global Secondary Funds'!$A$4:$S$19,H$1,0)</f>
        <v>0.12897805686289421</v>
      </c>
      <c r="J79" s="86">
        <f>VLOOKUP($B79,'Global Secondary Funds'!$A$4:$S$19,J$1,0)</f>
        <v>-1.03198713366684E-4</v>
      </c>
      <c r="K79" s="86">
        <f>VLOOKUP($B79,'Global Secondary Funds'!$A$4:$S$19,K$1,0)</f>
        <v>6.6001273251788672E-2</v>
      </c>
      <c r="L79" s="86">
        <f>VLOOKUP($B79,'Global Secondary Funds'!$A$4:$S$19,L$1,0)</f>
        <v>6.5898074538421988E-2</v>
      </c>
      <c r="M79" s="86">
        <f>VLOOKUP($B79,'Global Secondary Funds'!$A$4:$S$19,M$1,0)</f>
        <v>0.12897805686289421</v>
      </c>
      <c r="N79" s="52"/>
      <c r="O79" s="86">
        <f>VLOOKUP($B79,'Global Secondary Funds'!$A$4:$S$19,O$1,0)</f>
        <v>0.1520579656962773</v>
      </c>
      <c r="P79" s="86">
        <f>VLOOKUP($B79,'Global Secondary Funds'!$A$4:$S$19,P$1,0)</f>
        <v>0.1929118470461906</v>
      </c>
      <c r="Q79" s="86">
        <f>VLOOKUP($B79,'Global Secondary Funds'!$A$4:$S$19,Q$1,0)</f>
        <v>0.2456351067385586</v>
      </c>
      <c r="R79" s="86">
        <f>VLOOKUP($B79,'Global Secondary Funds'!$A$4:$S$19,R$1,0)</f>
        <v>0.25042397462591204</v>
      </c>
      <c r="T79" s="86">
        <f>VLOOKUP($B79,'Global Secondary Funds'!$A$4:$S$19,T$1,0)</f>
        <v>2.9189004012523609E-4</v>
      </c>
      <c r="U79" s="86">
        <f>VLOOKUP($B79,'Global Secondary Funds'!$A$4:$S$19,U$1,0)</f>
        <v>6.8460225234978772E-2</v>
      </c>
      <c r="V79" s="86">
        <f>VLOOKUP($B79,'Global Secondary Funds'!$A$4:$S$19,V$1,0)</f>
        <v>6.8460847489784621E-2</v>
      </c>
      <c r="W79" s="86">
        <f>VLOOKUP($B79,'Global Secondary Funds'!$A$4:$S$19,W$1,0)</f>
        <v>0.25042397462591204</v>
      </c>
    </row>
    <row r="80" spans="1:27" s="38" customFormat="1" ht="15">
      <c r="A80" s="38" t="s">
        <v>51</v>
      </c>
      <c r="B80" s="38">
        <f t="shared" si="9"/>
        <v>13</v>
      </c>
      <c r="C80" s="10" t="s">
        <v>18</v>
      </c>
      <c r="D80" s="10">
        <f t="shared" si="8"/>
        <v>2037</v>
      </c>
      <c r="E80" s="86">
        <f>VLOOKUP($B80,'Global Secondary Funds'!$A$4:$S$19,E$1,0)</f>
        <v>-0.79847841887669124</v>
      </c>
      <c r="F80" s="86">
        <f>VLOOKUP($B80,'Global Secondary Funds'!$A$4:$S$19,F$1,0)</f>
        <v>1.2236296557405997</v>
      </c>
      <c r="G80" s="86">
        <f>VLOOKUP($B80,'Global Secondary Funds'!$A$4:$S$19,G$1,0)</f>
        <v>0.42515123686390832</v>
      </c>
      <c r="H80" s="86">
        <f>VLOOKUP($B80,'Global Secondary Funds'!$A$4:$S$19,H$1,0)</f>
        <v>9.3570447331561418E-2</v>
      </c>
      <c r="J80" s="86">
        <f>VLOOKUP($B80,'Global Secondary Funds'!$A$4:$S$19,J$1,0)</f>
        <v>-1.031987133666978E-4</v>
      </c>
      <c r="K80" s="86">
        <f>VLOOKUP($B80,'Global Secondary Funds'!$A$4:$S$19,K$1,0)</f>
        <v>4.0139693497898747E-2</v>
      </c>
      <c r="L80" s="86">
        <f>VLOOKUP($B80,'Global Secondary Funds'!$A$4:$S$19,L$1,0)</f>
        <v>4.0036494784532049E-2</v>
      </c>
      <c r="M80" s="86">
        <f>VLOOKUP($B80,'Global Secondary Funds'!$A$4:$S$19,M$1,0)</f>
        <v>9.3570447331561418E-2</v>
      </c>
      <c r="N80" s="52"/>
      <c r="O80" s="86">
        <f>VLOOKUP($B80,'Global Secondary Funds'!$A$4:$S$19,O$1,0)</f>
        <v>0.15205824585166622</v>
      </c>
      <c r="P80" s="86">
        <f>VLOOKUP($B80,'Global Secondary Funds'!$A$4:$S$19,P$1,0)</f>
        <v>0.19503563902892307</v>
      </c>
      <c r="Q80" s="86">
        <f>VLOOKUP($B80,'Global Secondary Funds'!$A$4:$S$19,Q$1,0)</f>
        <v>0.24730671366322859</v>
      </c>
      <c r="R80" s="86">
        <f>VLOOKUP($B80,'Global Secondary Funds'!$A$4:$S$19,R$1,0)</f>
        <v>0.25087493942298977</v>
      </c>
      <c r="T80" s="86">
        <f>VLOOKUP($B80,'Global Secondary Funds'!$A$4:$S$19,T$1,0)</f>
        <v>2.9189004012527528E-4</v>
      </c>
      <c r="U80" s="86">
        <f>VLOOKUP($B80,'Global Secondary Funds'!$A$4:$S$19,U$1,0)</f>
        <v>2.8704002519640816E-2</v>
      </c>
      <c r="V80" s="86">
        <f>VLOOKUP($B80,'Global Secondary Funds'!$A$4:$S$19,V$1,0)</f>
        <v>2.8705486591295931E-2</v>
      </c>
      <c r="W80" s="86">
        <f>VLOOKUP($B80,'Global Secondary Funds'!$A$4:$S$19,W$1,0)</f>
        <v>0.25087493942298977</v>
      </c>
    </row>
    <row r="81" spans="1:27" s="38" customFormat="1" ht="15">
      <c r="A81" s="38" t="s">
        <v>51</v>
      </c>
      <c r="B81" s="38">
        <f t="shared" si="9"/>
        <v>14</v>
      </c>
      <c r="C81" s="10" t="s">
        <v>19</v>
      </c>
      <c r="D81" s="10">
        <f t="shared" si="8"/>
        <v>2038</v>
      </c>
      <c r="E81" s="86">
        <f>VLOOKUP($B81,'Global Secondary Funds'!$A$4:$S$19,E$1,0)</f>
        <v>-0.79847841887669124</v>
      </c>
      <c r="F81" s="86">
        <f>VLOOKUP($B81,'Global Secondary Funds'!$A$4:$S$19,F$1,0)</f>
        <v>1.2683634856976984</v>
      </c>
      <c r="G81" s="86">
        <f>VLOOKUP($B81,'Global Secondary Funds'!$A$4:$S$19,G$1,0)</f>
        <v>0.46988506682100695</v>
      </c>
      <c r="H81" s="86">
        <f>VLOOKUP($B81,'Global Secondary Funds'!$A$4:$S$19,H$1,0)</f>
        <v>5.2560068166653998E-2</v>
      </c>
      <c r="J81" s="86">
        <f>VLOOKUP($B81,'Global Secondary Funds'!$A$4:$S$19,J$1,0)</f>
        <v>0</v>
      </c>
      <c r="K81" s="86">
        <f>VLOOKUP($B81,'Global Secondary Funds'!$A$4:$S$19,K$1,0)</f>
        <v>4.4733829957098653E-2</v>
      </c>
      <c r="L81" s="86">
        <f>VLOOKUP($B81,'Global Secondary Funds'!$A$4:$S$19,L$1,0)</f>
        <v>4.4733829957098653E-2</v>
      </c>
      <c r="M81" s="86">
        <f>VLOOKUP($B81,'Global Secondary Funds'!$A$4:$S$19,M$1,0)</f>
        <v>5.2560068166653998E-2</v>
      </c>
      <c r="N81" s="52"/>
      <c r="O81" s="86">
        <f>VLOOKUP($B81,'Global Secondary Funds'!$A$4:$S$19,O$1,0)</f>
        <v>0.15205824585166622</v>
      </c>
      <c r="P81" s="86">
        <f>VLOOKUP($B81,'Global Secondary Funds'!$A$4:$S$19,P$1,0)</f>
        <v>0.20574897198776615</v>
      </c>
      <c r="Q81" s="86">
        <f>VLOOKUP($B81,'Global Secondary Funds'!$A$4:$S$19,Q$1,0)</f>
        <v>0.25584047687085859</v>
      </c>
      <c r="R81" s="86">
        <f>VLOOKUP($B81,'Global Secondary Funds'!$A$4:$S$19,R$1,0)</f>
        <v>0.25218052278453917</v>
      </c>
      <c r="T81" s="86">
        <f>VLOOKUP($B81,'Global Secondary Funds'!$A$4:$S$19,T$1,0)</f>
        <v>0</v>
      </c>
      <c r="U81" s="86">
        <f>VLOOKUP($B81,'Global Secondary Funds'!$A$4:$S$19,U$1,0)</f>
        <v>6.5526628042363047E-2</v>
      </c>
      <c r="V81" s="86">
        <f>VLOOKUP($B81,'Global Secondary Funds'!$A$4:$S$19,V$1,0)</f>
        <v>6.5526628042363047E-2</v>
      </c>
      <c r="W81" s="86">
        <f>VLOOKUP($B81,'Global Secondary Funds'!$A$4:$S$19,W$1,0)</f>
        <v>0.25218052278453917</v>
      </c>
    </row>
    <row r="82" spans="1:27" s="38" customFormat="1" ht="15">
      <c r="A82" s="38" t="s">
        <v>51</v>
      </c>
      <c r="B82" s="38">
        <f t="shared" si="9"/>
        <v>15</v>
      </c>
      <c r="C82" s="10" t="s">
        <v>20</v>
      </c>
      <c r="D82" s="10">
        <f t="shared" si="8"/>
        <v>2039</v>
      </c>
      <c r="E82" s="86">
        <f>VLOOKUP($B82,'Global Secondary Funds'!$A$4:$S$19,E$1,0)</f>
        <v>-0.79847841887669124</v>
      </c>
      <c r="F82" s="86">
        <f>VLOOKUP($B82,'Global Secondary Funds'!$A$4:$S$19,F$1,0)</f>
        <v>1.2921007507097571</v>
      </c>
      <c r="G82" s="86">
        <f>VLOOKUP($B82,'Global Secondary Funds'!$A$4:$S$19,G$1,0)</f>
        <v>0.49362233183306564</v>
      </c>
      <c r="H82" s="86">
        <f>VLOOKUP($B82,'Global Secondary Funds'!$A$4:$S$19,H$1,0)</f>
        <v>2.8304102799237008E-2</v>
      </c>
      <c r="J82" s="86">
        <f>VLOOKUP($B82,'Global Secondary Funds'!$A$4:$S$19,J$1,0)</f>
        <v>0</v>
      </c>
      <c r="K82" s="86">
        <f>VLOOKUP($B82,'Global Secondary Funds'!$A$4:$S$19,K$1,0)</f>
        <v>2.3737265012058716E-2</v>
      </c>
      <c r="L82" s="86">
        <f>VLOOKUP($B82,'Global Secondary Funds'!$A$4:$S$19,L$1,0)</f>
        <v>2.3737265012058716E-2</v>
      </c>
      <c r="M82" s="86">
        <f>VLOOKUP($B82,'Global Secondary Funds'!$A$4:$S$19,M$1,0)</f>
        <v>2.8304102799237008E-2</v>
      </c>
      <c r="N82" s="52"/>
      <c r="O82" s="86">
        <f>VLOOKUP($B82,'Global Secondary Funds'!$A$4:$S$19,O$1,0)</f>
        <v>0.15205824585166622</v>
      </c>
      <c r="P82" s="86">
        <f>VLOOKUP($B82,'Global Secondary Funds'!$A$4:$S$19,P$1,0)</f>
        <v>0.20659549227496385</v>
      </c>
      <c r="Q82" s="86">
        <f>VLOOKUP($B82,'Global Secondary Funds'!$A$4:$S$19,Q$1,0)</f>
        <v>0.25652174870724004</v>
      </c>
      <c r="R82" s="86">
        <f>VLOOKUP($B82,'Global Secondary Funds'!$A$4:$S$19,R$1,0)</f>
        <v>0.25261830052764156</v>
      </c>
      <c r="T82" s="86">
        <f>VLOOKUP($B82,'Global Secondary Funds'!$A$4:$S$19,T$1,0)</f>
        <v>0</v>
      </c>
      <c r="U82" s="86">
        <f>VLOOKUP($B82,'Global Secondary Funds'!$A$4:$S$19,U$1,0)</f>
        <v>1.8683092739481579E-2</v>
      </c>
      <c r="V82" s="86">
        <f>VLOOKUP($B82,'Global Secondary Funds'!$A$4:$S$19,V$1,0)</f>
        <v>1.8683092739481579E-2</v>
      </c>
      <c r="W82" s="86">
        <f>VLOOKUP($B82,'Global Secondary Funds'!$A$4:$S$19,W$1,0)</f>
        <v>0.25261830052764156</v>
      </c>
      <c r="Y82" s="94">
        <f>SUM(H82,F82)/-E82</f>
        <v>1.6536512725873731</v>
      </c>
      <c r="Z82" s="94">
        <f>SUM(M82,K68:K82)/-SUM(J68:J82)</f>
        <v>1.6536512725873731</v>
      </c>
      <c r="AA82" s="38" t="b">
        <f>Y82=Z82</f>
        <v>1</v>
      </c>
    </row>
    <row r="83" spans="1:27" s="38" customFormat="1" ht="15">
      <c r="J83" s="28"/>
      <c r="K83" s="28"/>
      <c r="L83" s="86"/>
      <c r="M83" s="28"/>
      <c r="N83" s="52"/>
      <c r="O83" s="28"/>
      <c r="P83" s="28"/>
      <c r="Q83" s="28"/>
      <c r="R83" s="28"/>
    </row>
    <row r="84" spans="1:27" ht="15">
      <c r="A84" s="6" t="s">
        <v>40</v>
      </c>
      <c r="B84" s="38">
        <v>1</v>
      </c>
      <c r="C84" s="10" t="s">
        <v>6</v>
      </c>
      <c r="D84" s="10">
        <f t="shared" ref="D84:D98" si="10">D20</f>
        <v>2025</v>
      </c>
      <c r="E84" s="86">
        <f>VLOOKUP($B84,'Global Private Credit'!$A$4:$S$19,E$1,0)</f>
        <v>-0.37125726034871048</v>
      </c>
      <c r="F84" s="86">
        <f>VLOOKUP($B84,'Global Private Credit'!$A$4:$S$19,F$1,0)</f>
        <v>4.3827019789385109E-4</v>
      </c>
      <c r="G84" s="86">
        <f>VLOOKUP($B84,'Global Private Credit'!$A$4:$S$19,G$1,0)</f>
        <v>-0.37081899015081665</v>
      </c>
      <c r="H84" s="86">
        <f>VLOOKUP($B84,'Global Private Credit'!$A$4:$S$19,H$1,0)</f>
        <v>0.37048636366857679</v>
      </c>
      <c r="I84" s="38"/>
      <c r="J84" s="86">
        <f>VLOOKUP($B84,'Global Private Credit'!$A$4:$S$19,J$1,0)</f>
        <v>-0.37125726034871048</v>
      </c>
      <c r="K84" s="86">
        <f>VLOOKUP($B84,'Global Private Credit'!$A$4:$S$19,K$1,0)</f>
        <v>4.3827019789385109E-4</v>
      </c>
      <c r="L84" s="86">
        <f>VLOOKUP($B84,'Global Private Credit'!$A$4:$S$19,L$1,0)</f>
        <v>-0.37081899015081665</v>
      </c>
      <c r="M84" s="86">
        <f>VLOOKUP($B84,'Global Private Credit'!$A$4:$S$19,M$1,0)</f>
        <v>0.37048636366857679</v>
      </c>
      <c r="O84" s="86">
        <f>VLOOKUP($B84,'Global Private Credit'!$A$4:$S$19,O$1,0)</f>
        <v>0.17599335875154473</v>
      </c>
      <c r="P84" s="86">
        <f>VLOOKUP($B84,'Global Private Credit'!$A$4:$S$19,P$1,0)</f>
        <v>1.1806753302863525E-3</v>
      </c>
      <c r="Q84" s="86">
        <f>VLOOKUP($B84,'Global Private Credit'!$A$4:$S$19,Q$1,0)</f>
        <v>0.17599731906732408</v>
      </c>
      <c r="R84" s="86">
        <f>VLOOKUP($B84,'Global Private Credit'!$A$4:$S$19,R$1,0)</f>
        <v>0.17592882076218183</v>
      </c>
      <c r="S84" s="38"/>
      <c r="T84" s="86">
        <f>VLOOKUP($B84,'Global Private Credit'!$A$4:$S$19,T$1,0)</f>
        <v>0.17547037359284245</v>
      </c>
      <c r="U84" s="86">
        <f>VLOOKUP($B84,'Global Private Credit'!$A$4:$S$19,U$1,0)</f>
        <v>1.1806753302863525E-3</v>
      </c>
      <c r="V84" s="86">
        <f>VLOOKUP($B84,'Global Private Credit'!$A$4:$S$19,V$1,0)</f>
        <v>0.17547434571197937</v>
      </c>
      <c r="W84" s="86">
        <f>VLOOKUP($B84,'Global Private Credit'!$A$4:$S$19,W$1,0)</f>
        <v>0.17592882076218183</v>
      </c>
    </row>
    <row r="85" spans="1:27" ht="15">
      <c r="A85" s="6" t="s">
        <v>40</v>
      </c>
      <c r="B85" s="38">
        <f>B84+1</f>
        <v>2</v>
      </c>
      <c r="C85" s="10" t="s">
        <v>7</v>
      </c>
      <c r="D85" s="10">
        <f t="shared" si="10"/>
        <v>2026</v>
      </c>
      <c r="E85" s="86">
        <f>VLOOKUP($B85,'Global Private Credit'!$A$4:$S$19,E$1,0)</f>
        <v>-0.64217504091178679</v>
      </c>
      <c r="F85" s="86">
        <f>VLOOKUP($B85,'Global Private Credit'!$A$4:$S$19,F$1,0)</f>
        <v>1.3793229601081444E-2</v>
      </c>
      <c r="G85" s="86">
        <f>VLOOKUP($B85,'Global Private Credit'!$A$4:$S$19,G$1,0)</f>
        <v>-0.62838181131070536</v>
      </c>
      <c r="H85" s="86">
        <f>VLOOKUP($B85,'Global Private Credit'!$A$4:$S$19,H$1,0)</f>
        <v>0.64017424884219498</v>
      </c>
      <c r="I85" s="38"/>
      <c r="J85" s="86">
        <f>VLOOKUP($B85,'Global Private Credit'!$A$4:$S$19,J$1,0)</f>
        <v>-0.27091778056307636</v>
      </c>
      <c r="K85" s="86">
        <f>VLOOKUP($B85,'Global Private Credit'!$A$4:$S$19,K$1,0)</f>
        <v>1.3354959403187592E-2</v>
      </c>
      <c r="L85" s="86">
        <f>VLOOKUP($B85,'Global Private Credit'!$A$4:$S$19,L$1,0)</f>
        <v>-0.25756282115988877</v>
      </c>
      <c r="M85" s="86">
        <f>VLOOKUP($B85,'Global Private Credit'!$A$4:$S$19,M$1,0)</f>
        <v>0.64017424884219498</v>
      </c>
      <c r="O85" s="86">
        <f>VLOOKUP($B85,'Global Private Credit'!$A$4:$S$19,O$1,0)</f>
        <v>0.19842963870090238</v>
      </c>
      <c r="P85" s="86">
        <f>VLOOKUP($B85,'Global Private Credit'!$A$4:$S$19,P$1,0)</f>
        <v>1.146889230761282E-2</v>
      </c>
      <c r="Q85" s="86">
        <f>VLOOKUP($B85,'Global Private Credit'!$A$4:$S$19,Q$1,0)</f>
        <v>0.19876080349438688</v>
      </c>
      <c r="R85" s="86">
        <f>VLOOKUP($B85,'Global Private Credit'!$A$4:$S$19,R$1,0)</f>
        <v>0.19459297821381538</v>
      </c>
      <c r="S85" s="38"/>
      <c r="T85" s="86">
        <f>VLOOKUP($B85,'Global Private Credit'!$A$4:$S$19,T$1,0)</f>
        <v>9.1655110006593335E-2</v>
      </c>
      <c r="U85" s="86">
        <f>VLOOKUP($B85,'Global Private Credit'!$A$4:$S$19,U$1,0)</f>
        <v>1.1407957596698619E-2</v>
      </c>
      <c r="V85" s="86">
        <f>VLOOKUP($B85,'Global Private Credit'!$A$4:$S$19,V$1,0)</f>
        <v>9.2362333701833235E-2</v>
      </c>
      <c r="W85" s="86">
        <f>VLOOKUP($B85,'Global Private Credit'!$A$4:$S$19,W$1,0)</f>
        <v>0.19459297821381538</v>
      </c>
    </row>
    <row r="86" spans="1:27" ht="15">
      <c r="A86" s="6" t="s">
        <v>40</v>
      </c>
      <c r="B86" s="38">
        <f t="shared" ref="B86:B98" si="11">B85+1</f>
        <v>3</v>
      </c>
      <c r="C86" s="10" t="s">
        <v>8</v>
      </c>
      <c r="D86" s="10">
        <f t="shared" si="10"/>
        <v>2027</v>
      </c>
      <c r="E86" s="86">
        <f>VLOOKUP($B86,'Global Private Credit'!$A$4:$S$19,E$1,0)</f>
        <v>-0.85880581589338389</v>
      </c>
      <c r="F86" s="86">
        <f>VLOOKUP($B86,'Global Private Credit'!$A$4:$S$19,F$1,0)</f>
        <v>6.8454256693564849E-2</v>
      </c>
      <c r="G86" s="86">
        <f>VLOOKUP($B86,'Global Private Credit'!$A$4:$S$19,G$1,0)</f>
        <v>-0.79035155919981903</v>
      </c>
      <c r="H86" s="86">
        <f>VLOOKUP($B86,'Global Private Credit'!$A$4:$S$19,H$1,0)</f>
        <v>0.87148167098049567</v>
      </c>
      <c r="I86" s="38"/>
      <c r="J86" s="86">
        <f>VLOOKUP($B86,'Global Private Credit'!$A$4:$S$19,J$1,0)</f>
        <v>-0.21663077498159711</v>
      </c>
      <c r="K86" s="86">
        <f>VLOOKUP($B86,'Global Private Credit'!$A$4:$S$19,K$1,0)</f>
        <v>5.4661027092483411E-2</v>
      </c>
      <c r="L86" s="86">
        <f>VLOOKUP($B86,'Global Private Credit'!$A$4:$S$19,L$1,0)</f>
        <v>-0.1619697478891137</v>
      </c>
      <c r="M86" s="86">
        <f>VLOOKUP($B86,'Global Private Credit'!$A$4:$S$19,M$1,0)</f>
        <v>0.87148167098049567</v>
      </c>
      <c r="O86" s="86">
        <f>VLOOKUP($B86,'Global Private Credit'!$A$4:$S$19,O$1,0)</f>
        <v>0.21872133583983408</v>
      </c>
      <c r="P86" s="86">
        <f>VLOOKUP($B86,'Global Private Credit'!$A$4:$S$19,P$1,0)</f>
        <v>3.7831319664031825E-2</v>
      </c>
      <c r="Q86" s="86">
        <f>VLOOKUP($B86,'Global Private Credit'!$A$4:$S$19,Q$1,0)</f>
        <v>0.22196898769666823</v>
      </c>
      <c r="R86" s="86">
        <f>VLOOKUP($B86,'Global Private Credit'!$A$4:$S$19,R$1,0)</f>
        <v>0.2205159481640028</v>
      </c>
      <c r="S86" s="38"/>
      <c r="T86" s="86">
        <f>VLOOKUP($B86,'Global Private Credit'!$A$4:$S$19,T$1,0)</f>
        <v>9.2003810989495602E-2</v>
      </c>
      <c r="U86" s="86">
        <f>VLOOKUP($B86,'Global Private Credit'!$A$4:$S$19,U$1,0)</f>
        <v>3.6050981356386687E-2</v>
      </c>
      <c r="V86" s="86">
        <f>VLOOKUP($B86,'Global Private Credit'!$A$4:$S$19,V$1,0)</f>
        <v>9.881484955890675E-2</v>
      </c>
      <c r="W86" s="86">
        <f>VLOOKUP($B86,'Global Private Credit'!$A$4:$S$19,W$1,0)</f>
        <v>0.2205159481640028</v>
      </c>
    </row>
    <row r="87" spans="1:27" ht="15">
      <c r="A87" s="6" t="s">
        <v>40</v>
      </c>
      <c r="B87" s="38">
        <f t="shared" si="11"/>
        <v>4</v>
      </c>
      <c r="C87" s="10" t="s">
        <v>9</v>
      </c>
      <c r="D87" s="10">
        <f t="shared" si="10"/>
        <v>2028</v>
      </c>
      <c r="E87" s="86">
        <f>VLOOKUP($B87,'Global Private Credit'!$A$4:$S$19,E$1,0)</f>
        <v>-0.99314237441107933</v>
      </c>
      <c r="F87" s="86">
        <f>VLOOKUP($B87,'Global Private Credit'!$A$4:$S$19,F$1,0)</f>
        <v>0.2278311116230457</v>
      </c>
      <c r="G87" s="86">
        <f>VLOOKUP($B87,'Global Private Credit'!$A$4:$S$19,G$1,0)</f>
        <v>-0.76531126278803363</v>
      </c>
      <c r="H87" s="86">
        <f>VLOOKUP($B87,'Global Private Credit'!$A$4:$S$19,H$1,0)</f>
        <v>0.89281352390368574</v>
      </c>
      <c r="I87" s="38"/>
      <c r="J87" s="86">
        <f>VLOOKUP($B87,'Global Private Credit'!$A$4:$S$19,J$1,0)</f>
        <v>-0.13433655851769544</v>
      </c>
      <c r="K87" s="86">
        <f>VLOOKUP($B87,'Global Private Credit'!$A$4:$S$19,K$1,0)</f>
        <v>0.15937685492948087</v>
      </c>
      <c r="L87" s="86">
        <f>VLOOKUP($B87,'Global Private Credit'!$A$4:$S$19,L$1,0)</f>
        <v>2.5040296411785429E-2</v>
      </c>
      <c r="M87" s="86">
        <f>VLOOKUP($B87,'Global Private Credit'!$A$4:$S$19,M$1,0)</f>
        <v>0.89281352390368574</v>
      </c>
      <c r="O87" s="86">
        <f>VLOOKUP($B87,'Global Private Credit'!$A$4:$S$19,O$1,0)</f>
        <v>0.23085948787020258</v>
      </c>
      <c r="P87" s="86">
        <f>VLOOKUP($B87,'Global Private Credit'!$A$4:$S$19,P$1,0)</f>
        <v>0.10357174820628499</v>
      </c>
      <c r="Q87" s="86">
        <f>VLOOKUP($B87,'Global Private Credit'!$A$4:$S$19,Q$1,0)</f>
        <v>0.25302808177393732</v>
      </c>
      <c r="R87" s="86">
        <f>VLOOKUP($B87,'Global Private Credit'!$A$4:$S$19,R$1,0)</f>
        <v>0.24689109645487575</v>
      </c>
      <c r="S87" s="38"/>
      <c r="T87" s="86">
        <f>VLOOKUP($B87,'Global Private Credit'!$A$4:$S$19,T$1,0)</f>
        <v>7.3872054175653706E-2</v>
      </c>
      <c r="U87" s="86">
        <f>VLOOKUP($B87,'Global Private Credit'!$A$4:$S$19,U$1,0)</f>
        <v>9.6415238831752834E-2</v>
      </c>
      <c r="V87" s="86">
        <f>VLOOKUP($B87,'Global Private Credit'!$A$4:$S$19,V$1,0)</f>
        <v>0.12146184037431121</v>
      </c>
      <c r="W87" s="86">
        <f>VLOOKUP($B87,'Global Private Credit'!$A$4:$S$19,W$1,0)</f>
        <v>0.24689109645487575</v>
      </c>
    </row>
    <row r="88" spans="1:27" ht="15">
      <c r="A88" s="6" t="s">
        <v>40</v>
      </c>
      <c r="B88" s="38">
        <f t="shared" si="11"/>
        <v>5</v>
      </c>
      <c r="C88" s="10" t="s">
        <v>10</v>
      </c>
      <c r="D88" s="10">
        <f t="shared" si="10"/>
        <v>2029</v>
      </c>
      <c r="E88" s="86">
        <f>VLOOKUP($B88,'Global Private Credit'!$A$4:$S$19,E$1,0)</f>
        <v>-1.0450905553188079</v>
      </c>
      <c r="F88" s="86">
        <f>VLOOKUP($B88,'Global Private Credit'!$A$4:$S$19,F$1,0)</f>
        <v>0.45749400055744749</v>
      </c>
      <c r="G88" s="86">
        <f>VLOOKUP($B88,'Global Private Credit'!$A$4:$S$19,G$1,0)</f>
        <v>-0.58759655476136052</v>
      </c>
      <c r="H88" s="86">
        <f>VLOOKUP($B88,'Global Private Credit'!$A$4:$S$19,H$1,0)</f>
        <v>0.823022021104729</v>
      </c>
      <c r="I88" s="38"/>
      <c r="J88" s="86">
        <f>VLOOKUP($B88,'Global Private Credit'!$A$4:$S$19,J$1,0)</f>
        <v>-5.1948180907728653E-2</v>
      </c>
      <c r="K88" s="86">
        <f>VLOOKUP($B88,'Global Private Credit'!$A$4:$S$19,K$1,0)</f>
        <v>0.22966288893440179</v>
      </c>
      <c r="L88" s="86">
        <f>VLOOKUP($B88,'Global Private Credit'!$A$4:$S$19,L$1,0)</f>
        <v>0.17771470802667313</v>
      </c>
      <c r="M88" s="86">
        <f>VLOOKUP($B88,'Global Private Credit'!$A$4:$S$19,M$1,0)</f>
        <v>0.823022021104729</v>
      </c>
      <c r="O88" s="86">
        <f>VLOOKUP($B88,'Global Private Credit'!$A$4:$S$19,O$1,0)</f>
        <v>0.23559763154028948</v>
      </c>
      <c r="P88" s="86">
        <f>VLOOKUP($B88,'Global Private Credit'!$A$4:$S$19,P$1,0)</f>
        <v>0.15228904426853418</v>
      </c>
      <c r="Q88" s="86">
        <f>VLOOKUP($B88,'Global Private Credit'!$A$4:$S$19,Q$1,0)</f>
        <v>0.28053198924831652</v>
      </c>
      <c r="R88" s="86">
        <f>VLOOKUP($B88,'Global Private Credit'!$A$4:$S$19,R$1,0)</f>
        <v>0.26945780160938138</v>
      </c>
      <c r="S88" s="38"/>
      <c r="T88" s="86">
        <f>VLOOKUP($B88,'Global Private Credit'!$A$4:$S$19,T$1,0)</f>
        <v>4.7012135111073154E-2</v>
      </c>
      <c r="U88" s="86">
        <f>VLOOKUP($B88,'Global Private Credit'!$A$4:$S$19,U$1,0)</f>
        <v>0.1116460746184901</v>
      </c>
      <c r="V88" s="86">
        <f>VLOOKUP($B88,'Global Private Credit'!$A$4:$S$19,V$1,0)</f>
        <v>0.1211403600185308</v>
      </c>
      <c r="W88" s="86">
        <f>VLOOKUP($B88,'Global Private Credit'!$A$4:$S$19,W$1,0)</f>
        <v>0.26945780160938138</v>
      </c>
    </row>
    <row r="89" spans="1:27" ht="15">
      <c r="A89" s="6" t="s">
        <v>40</v>
      </c>
      <c r="B89" s="38">
        <f t="shared" si="11"/>
        <v>6</v>
      </c>
      <c r="C89" s="10" t="s">
        <v>11</v>
      </c>
      <c r="D89" s="10">
        <f t="shared" si="10"/>
        <v>2030</v>
      </c>
      <c r="E89" s="86">
        <f>VLOOKUP($B89,'Global Private Credit'!$A$4:$S$19,E$1,0)</f>
        <v>-1.0599894775795133</v>
      </c>
      <c r="F89" s="86">
        <f>VLOOKUP($B89,'Global Private Credit'!$A$4:$S$19,F$1,0)</f>
        <v>0.66666492322356163</v>
      </c>
      <c r="G89" s="86">
        <f>VLOOKUP($B89,'Global Private Credit'!$A$4:$S$19,G$1,0)</f>
        <v>-0.39332455435595171</v>
      </c>
      <c r="H89" s="86">
        <f>VLOOKUP($B89,'Global Private Credit'!$A$4:$S$19,H$1,0)</f>
        <v>0.69073090166968443</v>
      </c>
      <c r="I89" s="38"/>
      <c r="J89" s="86">
        <f>VLOOKUP($B89,'Global Private Credit'!$A$4:$S$19,J$1,0)</f>
        <v>-1.4898922260705339E-2</v>
      </c>
      <c r="K89" s="86">
        <f>VLOOKUP($B89,'Global Private Credit'!$A$4:$S$19,K$1,0)</f>
        <v>0.20917092266611417</v>
      </c>
      <c r="L89" s="86">
        <f>VLOOKUP($B89,'Global Private Credit'!$A$4:$S$19,L$1,0)</f>
        <v>0.19427200040540885</v>
      </c>
      <c r="M89" s="86">
        <f>VLOOKUP($B89,'Global Private Credit'!$A$4:$S$19,M$1,0)</f>
        <v>0.69073090166968443</v>
      </c>
      <c r="O89" s="86">
        <f>VLOOKUP($B89,'Global Private Credit'!$A$4:$S$19,O$1,0)</f>
        <v>0.23617221339233138</v>
      </c>
      <c r="P89" s="86">
        <f>VLOOKUP($B89,'Global Private Credit'!$A$4:$S$19,P$1,0)</f>
        <v>0.18015688993138892</v>
      </c>
      <c r="Q89" s="86">
        <f>VLOOKUP($B89,'Global Private Credit'!$A$4:$S$19,Q$1,0)</f>
        <v>0.29704178050971802</v>
      </c>
      <c r="R89" s="86">
        <f>VLOOKUP($B89,'Global Private Credit'!$A$4:$S$19,R$1,0)</f>
        <v>0.28181055331897459</v>
      </c>
      <c r="S89" s="38"/>
      <c r="T89" s="86">
        <f>VLOOKUP($B89,'Global Private Credit'!$A$4:$S$19,T$1,0)</f>
        <v>1.6464215475961934E-2</v>
      </c>
      <c r="U89" s="86">
        <f>VLOOKUP($B89,'Global Private Credit'!$A$4:$S$19,U$1,0)</f>
        <v>9.6252542748371195E-2</v>
      </c>
      <c r="V89" s="86">
        <f>VLOOKUP($B89,'Global Private Credit'!$A$4:$S$19,V$1,0)</f>
        <v>9.7650511400432141E-2</v>
      </c>
      <c r="W89" s="86">
        <f>VLOOKUP($B89,'Global Private Credit'!$A$4:$S$19,W$1,0)</f>
        <v>0.28181055331897459</v>
      </c>
    </row>
    <row r="90" spans="1:27" ht="15">
      <c r="A90" s="6" t="s">
        <v>40</v>
      </c>
      <c r="B90" s="38">
        <f t="shared" si="11"/>
        <v>7</v>
      </c>
      <c r="C90" s="10" t="s">
        <v>12</v>
      </c>
      <c r="D90" s="10">
        <f t="shared" si="10"/>
        <v>2031</v>
      </c>
      <c r="E90" s="86">
        <f>VLOOKUP($B90,'Global Private Credit'!$A$4:$S$19,E$1,0)</f>
        <v>-1.0699334491133194</v>
      </c>
      <c r="F90" s="86">
        <f>VLOOKUP($B90,'Global Private Credit'!$A$4:$S$19,F$1,0)</f>
        <v>0.84324566800930856</v>
      </c>
      <c r="G90" s="86">
        <f>VLOOKUP($B90,'Global Private Credit'!$A$4:$S$19,G$1,0)</f>
        <v>-0.22668778110401094</v>
      </c>
      <c r="H90" s="86">
        <f>VLOOKUP($B90,'Global Private Credit'!$A$4:$S$19,H$1,0)</f>
        <v>0.52321255449640125</v>
      </c>
      <c r="I90" s="38"/>
      <c r="J90" s="86">
        <f>VLOOKUP($B90,'Global Private Credit'!$A$4:$S$19,J$1,0)</f>
        <v>-9.9439715338062121E-3</v>
      </c>
      <c r="K90" s="86">
        <f>VLOOKUP($B90,'Global Private Credit'!$A$4:$S$19,K$1,0)</f>
        <v>0.17658074478574698</v>
      </c>
      <c r="L90" s="86">
        <f>VLOOKUP($B90,'Global Private Credit'!$A$4:$S$19,L$1,0)</f>
        <v>0.16663677325194076</v>
      </c>
      <c r="M90" s="86">
        <f>VLOOKUP($B90,'Global Private Credit'!$A$4:$S$19,M$1,0)</f>
        <v>0.52321255449640125</v>
      </c>
      <c r="O90" s="86">
        <f>VLOOKUP($B90,'Global Private Credit'!$A$4:$S$19,O$1,0)</f>
        <v>0.23669737261074389</v>
      </c>
      <c r="P90" s="86">
        <f>VLOOKUP($B90,'Global Private Credit'!$A$4:$S$19,P$1,0)</f>
        <v>0.19414325845193273</v>
      </c>
      <c r="Q90" s="86">
        <f>VLOOKUP($B90,'Global Private Credit'!$A$4:$S$19,Q$1,0)</f>
        <v>0.30613273428884286</v>
      </c>
      <c r="R90" s="86">
        <f>VLOOKUP($B90,'Global Private Credit'!$A$4:$S$19,R$1,0)</f>
        <v>0.30596858143108085</v>
      </c>
      <c r="S90" s="38"/>
      <c r="T90" s="86">
        <f>VLOOKUP($B90,'Global Private Credit'!$A$4:$S$19,T$1,0)</f>
        <v>1.5758547591590441E-2</v>
      </c>
      <c r="U90" s="86">
        <f>VLOOKUP($B90,'Global Private Credit'!$A$4:$S$19,U$1,0)</f>
        <v>7.2353989610686731E-2</v>
      </c>
      <c r="V90" s="86">
        <f>VLOOKUP($B90,'Global Private Credit'!$A$4:$S$19,V$1,0)</f>
        <v>7.4050196723437434E-2</v>
      </c>
      <c r="W90" s="86">
        <f>VLOOKUP($B90,'Global Private Credit'!$A$4:$S$19,W$1,0)</f>
        <v>0.30596858143108085</v>
      </c>
    </row>
    <row r="91" spans="1:27" ht="15">
      <c r="A91" s="6" t="s">
        <v>40</v>
      </c>
      <c r="B91" s="38">
        <f t="shared" si="11"/>
        <v>8</v>
      </c>
      <c r="C91" s="10" t="s">
        <v>13</v>
      </c>
      <c r="D91" s="10">
        <f t="shared" si="10"/>
        <v>2032</v>
      </c>
      <c r="E91" s="86">
        <f>VLOOKUP($B91,'Global Private Credit'!$A$4:$S$19,E$1,0)</f>
        <v>-1.0775267661349217</v>
      </c>
      <c r="F91" s="86">
        <f>VLOOKUP($B91,'Global Private Credit'!$A$4:$S$19,F$1,0)</f>
        <v>0.99059569523839219</v>
      </c>
      <c r="G91" s="86">
        <f>VLOOKUP($B91,'Global Private Credit'!$A$4:$S$19,G$1,0)</f>
        <v>-8.6931070896529683E-2</v>
      </c>
      <c r="H91" s="86">
        <f>VLOOKUP($B91,'Global Private Credit'!$A$4:$S$19,H$1,0)</f>
        <v>0.40661538180217843</v>
      </c>
      <c r="I91" s="38"/>
      <c r="J91" s="86">
        <f>VLOOKUP($B91,'Global Private Credit'!$A$4:$S$19,J$1,0)</f>
        <v>-7.5933170216023671E-3</v>
      </c>
      <c r="K91" s="86">
        <f>VLOOKUP($B91,'Global Private Credit'!$A$4:$S$19,K$1,0)</f>
        <v>0.14735002722908364</v>
      </c>
      <c r="L91" s="86">
        <f>VLOOKUP($B91,'Global Private Credit'!$A$4:$S$19,L$1,0)</f>
        <v>0.13975671020748126</v>
      </c>
      <c r="M91" s="86">
        <f>VLOOKUP($B91,'Global Private Credit'!$A$4:$S$19,M$1,0)</f>
        <v>0.40661538180217843</v>
      </c>
      <c r="O91" s="86">
        <f>VLOOKUP($B91,'Global Private Credit'!$A$4:$S$19,O$1,0)</f>
        <v>0.23692903788853961</v>
      </c>
      <c r="P91" s="86">
        <f>VLOOKUP($B91,'Global Private Credit'!$A$4:$S$19,P$1,0)</f>
        <v>0.21611396930702675</v>
      </c>
      <c r="Q91" s="86">
        <f>VLOOKUP($B91,'Global Private Credit'!$A$4:$S$19,Q$1,0)</f>
        <v>0.32068772462385825</v>
      </c>
      <c r="R91" s="86">
        <f>VLOOKUP($B91,'Global Private Credit'!$A$4:$S$19,R$1,0)</f>
        <v>0.31948403298028272</v>
      </c>
      <c r="S91" s="38"/>
      <c r="T91" s="86">
        <f>VLOOKUP($B91,'Global Private Credit'!$A$4:$S$19,T$1,0)</f>
        <v>1.0474864865940443E-2</v>
      </c>
      <c r="U91" s="86">
        <f>VLOOKUP($B91,'Global Private Credit'!$A$4:$S$19,U$1,0)</f>
        <v>9.4940207116398084E-2</v>
      </c>
      <c r="V91" s="86">
        <f>VLOOKUP($B91,'Global Private Credit'!$A$4:$S$19,V$1,0)</f>
        <v>9.5516311283802613E-2</v>
      </c>
      <c r="W91" s="86">
        <f>VLOOKUP($B91,'Global Private Credit'!$A$4:$S$19,W$1,0)</f>
        <v>0.31948403298028272</v>
      </c>
    </row>
    <row r="92" spans="1:27" ht="15">
      <c r="A92" s="6" t="s">
        <v>40</v>
      </c>
      <c r="B92" s="38">
        <f t="shared" si="11"/>
        <v>9</v>
      </c>
      <c r="C92" s="10" t="s">
        <v>14</v>
      </c>
      <c r="D92" s="10">
        <f t="shared" si="10"/>
        <v>2033</v>
      </c>
      <c r="E92" s="86">
        <f>VLOOKUP($B92,'Global Private Credit'!$A$4:$S$19,E$1,0)</f>
        <v>-1.0804928900908513</v>
      </c>
      <c r="F92" s="86">
        <f>VLOOKUP($B92,'Global Private Credit'!$A$4:$S$19,F$1,0)</f>
        <v>1.06142224631724</v>
      </c>
      <c r="G92" s="86">
        <f>VLOOKUP($B92,'Global Private Credit'!$A$4:$S$19,G$1,0)</f>
        <v>-1.9070643773611493E-2</v>
      </c>
      <c r="H92" s="86">
        <f>VLOOKUP($B92,'Global Private Credit'!$A$4:$S$19,H$1,0)</f>
        <v>0.32150022827019292</v>
      </c>
      <c r="I92" s="38"/>
      <c r="J92" s="86">
        <f>VLOOKUP($B92,'Global Private Credit'!$A$4:$S$19,J$1,0)</f>
        <v>-2.9661239559296087E-3</v>
      </c>
      <c r="K92" s="86">
        <f>VLOOKUP($B92,'Global Private Credit'!$A$4:$S$19,K$1,0)</f>
        <v>7.0826551078847805E-2</v>
      </c>
      <c r="L92" s="86">
        <f>VLOOKUP($B92,'Global Private Credit'!$A$4:$S$19,L$1,0)</f>
        <v>6.786042712291819E-2</v>
      </c>
      <c r="M92" s="86">
        <f>VLOOKUP($B92,'Global Private Credit'!$A$4:$S$19,M$1,0)</f>
        <v>0.32150022827019292</v>
      </c>
      <c r="O92" s="86">
        <f>VLOOKUP($B92,'Global Private Credit'!$A$4:$S$19,O$1,0)</f>
        <v>0.236959946461958</v>
      </c>
      <c r="P92" s="86">
        <f>VLOOKUP($B92,'Global Private Credit'!$A$4:$S$19,P$1,0)</f>
        <v>0.22065713142511711</v>
      </c>
      <c r="Q92" s="86">
        <f>VLOOKUP($B92,'Global Private Credit'!$A$4:$S$19,Q$1,0)</f>
        <v>0.32378941594192884</v>
      </c>
      <c r="R92" s="86">
        <f>VLOOKUP($B92,'Global Private Credit'!$A$4:$S$19,R$1,0)</f>
        <v>0.32257863313631063</v>
      </c>
      <c r="S92" s="38"/>
      <c r="T92" s="86">
        <f>VLOOKUP($B92,'Global Private Credit'!$A$4:$S$19,T$1,0)</f>
        <v>3.827170294743058E-3</v>
      </c>
      <c r="U92" s="86">
        <f>VLOOKUP($B92,'Global Private Credit'!$A$4:$S$19,U$1,0)</f>
        <v>4.4545728404897622E-2</v>
      </c>
      <c r="V92" s="86">
        <f>VLOOKUP($B92,'Global Private Credit'!$A$4:$S$19,V$1,0)</f>
        <v>4.4709832828896449E-2</v>
      </c>
      <c r="W92" s="86">
        <f>VLOOKUP($B92,'Global Private Credit'!$A$4:$S$19,W$1,0)</f>
        <v>0.32257863313631063</v>
      </c>
    </row>
    <row r="93" spans="1:27" ht="15">
      <c r="A93" s="6" t="s">
        <v>40</v>
      </c>
      <c r="B93" s="38">
        <f t="shared" si="11"/>
        <v>10</v>
      </c>
      <c r="C93" s="10" t="s">
        <v>15</v>
      </c>
      <c r="D93" s="10">
        <f t="shared" si="10"/>
        <v>2034</v>
      </c>
      <c r="E93" s="86">
        <f>VLOOKUP($B93,'Global Private Credit'!$A$4:$S$19,E$1,0)</f>
        <v>-1.0820308518955706</v>
      </c>
      <c r="F93" s="86">
        <f>VLOOKUP($B93,'Global Private Credit'!$A$4:$S$19,F$1,0)</f>
        <v>1.1206695585357285</v>
      </c>
      <c r="G93" s="86">
        <f>VLOOKUP($B93,'Global Private Credit'!$A$4:$S$19,G$1,0)</f>
        <v>3.863870664015763E-2</v>
      </c>
      <c r="H93" s="86">
        <f>VLOOKUP($B93,'Global Private Credit'!$A$4:$S$19,H$1,0)</f>
        <v>0.25890757348211779</v>
      </c>
      <c r="I93" s="38"/>
      <c r="J93" s="86">
        <f>VLOOKUP($B93,'Global Private Credit'!$A$4:$S$19,J$1,0)</f>
        <v>-1.5379618047194131E-3</v>
      </c>
      <c r="K93" s="86">
        <f>VLOOKUP($B93,'Global Private Credit'!$A$4:$S$19,K$1,0)</f>
        <v>5.9247312218488536E-2</v>
      </c>
      <c r="L93" s="86">
        <f>VLOOKUP($B93,'Global Private Credit'!$A$4:$S$19,L$1,0)</f>
        <v>5.7709350413769123E-2</v>
      </c>
      <c r="M93" s="86">
        <f>VLOOKUP($B93,'Global Private Credit'!$A$4:$S$19,M$1,0)</f>
        <v>0.25890757348211779</v>
      </c>
      <c r="O93" s="86">
        <f>VLOOKUP($B93,'Global Private Credit'!$A$4:$S$19,O$1,0)</f>
        <v>0.23699910118760262</v>
      </c>
      <c r="P93" s="86">
        <f>VLOOKUP($B93,'Global Private Credit'!$A$4:$S$19,P$1,0)</f>
        <v>0.22559582852465748</v>
      </c>
      <c r="Q93" s="86">
        <f>VLOOKUP($B93,'Global Private Credit'!$A$4:$S$19,Q$1,0)</f>
        <v>0.32720337989002829</v>
      </c>
      <c r="R93" s="86">
        <f>VLOOKUP($B93,'Global Private Credit'!$A$4:$S$19,R$1,0)</f>
        <v>0.32582132324623198</v>
      </c>
      <c r="S93" s="38"/>
      <c r="T93" s="86">
        <f>VLOOKUP($B93,'Global Private Credit'!$A$4:$S$19,T$1,0)</f>
        <v>4.3078691342127908E-3</v>
      </c>
      <c r="U93" s="86">
        <f>VLOOKUP($B93,'Global Private Credit'!$A$4:$S$19,U$1,0)</f>
        <v>4.694580065314953E-2</v>
      </c>
      <c r="V93" s="86">
        <f>VLOOKUP($B93,'Global Private Credit'!$A$4:$S$19,V$1,0)</f>
        <v>4.7143036977296639E-2</v>
      </c>
      <c r="W93" s="86">
        <f>VLOOKUP($B93,'Global Private Credit'!$A$4:$S$19,W$1,0)</f>
        <v>0.32582132324623198</v>
      </c>
    </row>
    <row r="94" spans="1:27" ht="15">
      <c r="A94" s="6" t="s">
        <v>40</v>
      </c>
      <c r="B94" s="38">
        <f t="shared" si="11"/>
        <v>11</v>
      </c>
      <c r="C94" s="10" t="s">
        <v>16</v>
      </c>
      <c r="D94" s="10">
        <f t="shared" si="10"/>
        <v>2035</v>
      </c>
      <c r="E94" s="86">
        <f>VLOOKUP($B94,'Global Private Credit'!$A$4:$S$19,E$1,0)</f>
        <v>-1.0832017769004472</v>
      </c>
      <c r="F94" s="86">
        <f>VLOOKUP($B94,'Global Private Credit'!$A$4:$S$19,F$1,0)</f>
        <v>1.1767175269457668</v>
      </c>
      <c r="G94" s="86">
        <f>VLOOKUP($B94,'Global Private Credit'!$A$4:$S$19,G$1,0)</f>
        <v>9.3515750045319396E-2</v>
      </c>
      <c r="H94" s="86">
        <f>VLOOKUP($B94,'Global Private Credit'!$A$4:$S$19,H$1,0)</f>
        <v>0.21967450459043492</v>
      </c>
      <c r="I94" s="38"/>
      <c r="J94" s="86">
        <f>VLOOKUP($B94,'Global Private Credit'!$A$4:$S$19,J$1,0)</f>
        <v>-1.1709250048766483E-3</v>
      </c>
      <c r="K94" s="86">
        <f>VLOOKUP($B94,'Global Private Credit'!$A$4:$S$19,K$1,0)</f>
        <v>5.6047968410038423E-2</v>
      </c>
      <c r="L94" s="86">
        <f>VLOOKUP($B94,'Global Private Credit'!$A$4:$S$19,L$1,0)</f>
        <v>5.4877043405161773E-2</v>
      </c>
      <c r="M94" s="86">
        <f>VLOOKUP($B94,'Global Private Credit'!$A$4:$S$19,M$1,0)</f>
        <v>0.21967450459043492</v>
      </c>
      <c r="O94" s="86">
        <f>VLOOKUP($B94,'Global Private Credit'!$A$4:$S$19,O$1,0)</f>
        <v>0.23701009051674612</v>
      </c>
      <c r="P94" s="86">
        <f>VLOOKUP($B94,'Global Private Credit'!$A$4:$S$19,P$1,0)</f>
        <v>0.2298855453743989</v>
      </c>
      <c r="Q94" s="86">
        <f>VLOOKUP($B94,'Global Private Credit'!$A$4:$S$19,Q$1,0)</f>
        <v>0.33018350500720206</v>
      </c>
      <c r="R94" s="86">
        <f>VLOOKUP($B94,'Global Private Credit'!$A$4:$S$19,R$1,0)</f>
        <v>0.32888425693936424</v>
      </c>
      <c r="S94" s="38"/>
      <c r="T94" s="86">
        <f>VLOOKUP($B94,'Global Private Credit'!$A$4:$S$19,T$1,0)</f>
        <v>2.2823328032291856E-3</v>
      </c>
      <c r="U94" s="86">
        <f>VLOOKUP($B94,'Global Private Credit'!$A$4:$S$19,U$1,0)</f>
        <v>4.4202784124511355E-2</v>
      </c>
      <c r="V94" s="86">
        <f>VLOOKUP($B94,'Global Private Credit'!$A$4:$S$19,V$1,0)</f>
        <v>4.4261667019926496E-2</v>
      </c>
      <c r="W94" s="86">
        <f>VLOOKUP($B94,'Global Private Credit'!$A$4:$S$19,W$1,0)</f>
        <v>0.32888425693936424</v>
      </c>
    </row>
    <row r="95" spans="1:27" ht="15">
      <c r="A95" s="6" t="s">
        <v>40</v>
      </c>
      <c r="B95" s="38">
        <f t="shared" si="11"/>
        <v>12</v>
      </c>
      <c r="C95" s="10" t="s">
        <v>17</v>
      </c>
      <c r="D95" s="10">
        <f t="shared" si="10"/>
        <v>2036</v>
      </c>
      <c r="E95" s="86">
        <f>VLOOKUP($B95,'Global Private Credit'!$A$4:$S$19,E$1,0)</f>
        <v>-1.083339944600481</v>
      </c>
      <c r="F95" s="86">
        <f>VLOOKUP($B95,'Global Private Credit'!$A$4:$S$19,F$1,0)</f>
        <v>1.2436537130631538</v>
      </c>
      <c r="G95" s="86">
        <f>VLOOKUP($B95,'Global Private Credit'!$A$4:$S$19,G$1,0)</f>
        <v>0.16031376846267265</v>
      </c>
      <c r="H95" s="86">
        <f>VLOOKUP($B95,'Global Private Credit'!$A$4:$S$19,H$1,0)</f>
        <v>0.18507194196423002</v>
      </c>
      <c r="I95" s="38"/>
      <c r="J95" s="86">
        <f>VLOOKUP($B95,'Global Private Credit'!$A$4:$S$19,J$1,0)</f>
        <v>-1.3816770003377795E-4</v>
      </c>
      <c r="K95" s="86">
        <f>VLOOKUP($B95,'Global Private Credit'!$A$4:$S$19,K$1,0)</f>
        <v>6.6936186117387025E-2</v>
      </c>
      <c r="L95" s="86">
        <f>VLOOKUP($B95,'Global Private Credit'!$A$4:$S$19,L$1,0)</f>
        <v>6.679801841735325E-2</v>
      </c>
      <c r="M95" s="86">
        <f>VLOOKUP($B95,'Global Private Credit'!$A$4:$S$19,M$1,0)</f>
        <v>0.18507194196423002</v>
      </c>
      <c r="O95" s="86">
        <f>VLOOKUP($B95,'Global Private Credit'!$A$4:$S$19,O$1,0)</f>
        <v>0.23701021171350509</v>
      </c>
      <c r="P95" s="86">
        <f>VLOOKUP($B95,'Global Private Credit'!$A$4:$S$19,P$1,0)</f>
        <v>0.24534491961170093</v>
      </c>
      <c r="Q95" s="86">
        <f>VLOOKUP($B95,'Global Private Credit'!$A$4:$S$19,Q$1,0)</f>
        <v>0.34112749821108307</v>
      </c>
      <c r="R95" s="86">
        <f>VLOOKUP($B95,'Global Private Credit'!$A$4:$S$19,R$1,0)</f>
        <v>0.33157049384676474</v>
      </c>
      <c r="S95" s="38"/>
      <c r="T95" s="86">
        <f>VLOOKUP($B95,'Global Private Credit'!$A$4:$S$19,T$1,0)</f>
        <v>2.396867211753315E-4</v>
      </c>
      <c r="U95" s="86">
        <f>VLOOKUP($B95,'Global Private Credit'!$A$4:$S$19,U$1,0)</f>
        <v>8.5713275559782295E-2</v>
      </c>
      <c r="V95" s="86">
        <f>VLOOKUP($B95,'Global Private Credit'!$A$4:$S$19,V$1,0)</f>
        <v>8.5713610686468461E-2</v>
      </c>
      <c r="W95" s="86">
        <f>VLOOKUP($B95,'Global Private Credit'!$A$4:$S$19,W$1,0)</f>
        <v>0.33157049384676474</v>
      </c>
    </row>
    <row r="96" spans="1:27" ht="15">
      <c r="A96" s="6" t="s">
        <v>40</v>
      </c>
      <c r="B96" s="38">
        <f t="shared" si="11"/>
        <v>13</v>
      </c>
      <c r="C96" s="10" t="s">
        <v>18</v>
      </c>
      <c r="D96" s="10">
        <f t="shared" si="10"/>
        <v>2037</v>
      </c>
      <c r="E96" s="86">
        <f>VLOOKUP($B96,'Global Private Credit'!$A$4:$S$19,E$1,0)</f>
        <v>-1.083654718339274</v>
      </c>
      <c r="F96" s="86">
        <f>VLOOKUP($B96,'Global Private Credit'!$A$4:$S$19,F$1,0)</f>
        <v>1.2763130434738457</v>
      </c>
      <c r="G96" s="86">
        <f>VLOOKUP($B96,'Global Private Credit'!$A$4:$S$19,G$1,0)</f>
        <v>0.19265832513457165</v>
      </c>
      <c r="H96" s="86">
        <f>VLOOKUP($B96,'Global Private Credit'!$A$4:$S$19,H$1,0)</f>
        <v>0.17068984870369874</v>
      </c>
      <c r="I96" s="38"/>
      <c r="J96" s="86">
        <f>VLOOKUP($B96,'Global Private Credit'!$A$4:$S$19,J$1,0)</f>
        <v>-3.1477373879297375E-4</v>
      </c>
      <c r="K96" s="86">
        <f>VLOOKUP($B96,'Global Private Credit'!$A$4:$S$19,K$1,0)</f>
        <v>3.2659330410691995E-2</v>
      </c>
      <c r="L96" s="86">
        <f>VLOOKUP($B96,'Global Private Credit'!$A$4:$S$19,L$1,0)</f>
        <v>3.2344556671899019E-2</v>
      </c>
      <c r="M96" s="86">
        <f>VLOOKUP($B96,'Global Private Credit'!$A$4:$S$19,M$1,0)</f>
        <v>0.17068984870369874</v>
      </c>
      <c r="O96" s="86">
        <f>VLOOKUP($B96,'Global Private Credit'!$A$4:$S$19,O$1,0)</f>
        <v>0.23701160266971008</v>
      </c>
      <c r="P96" s="86">
        <f>VLOOKUP($B96,'Global Private Credit'!$A$4:$S$19,P$1,0)</f>
        <v>0.24714807109397652</v>
      </c>
      <c r="Q96" s="86">
        <f>VLOOKUP($B96,'Global Private Credit'!$A$4:$S$19,Q$1,0)</f>
        <v>0.34242761110275233</v>
      </c>
      <c r="R96" s="86">
        <f>VLOOKUP($B96,'Global Private Credit'!$A$4:$S$19,R$1,0)</f>
        <v>0.33227837605511362</v>
      </c>
      <c r="S96" s="38"/>
      <c r="T96" s="86">
        <f>VLOOKUP($B96,'Global Private Credit'!$A$4:$S$19,T$1,0)</f>
        <v>8.1199974385071799E-4</v>
      </c>
      <c r="U96" s="86">
        <f>VLOOKUP($B96,'Global Private Credit'!$A$4:$S$19,U$1,0)</f>
        <v>2.9799991043644284E-2</v>
      </c>
      <c r="V96" s="86">
        <f>VLOOKUP($B96,'Global Private Credit'!$A$4:$S$19,V$1,0)</f>
        <v>2.9811051806088514E-2</v>
      </c>
      <c r="W96" s="86">
        <f>VLOOKUP($B96,'Global Private Credit'!$A$4:$S$19,W$1,0)</f>
        <v>0.33227837605511362</v>
      </c>
    </row>
    <row r="97" spans="1:27" ht="15">
      <c r="A97" s="6" t="s">
        <v>40</v>
      </c>
      <c r="B97" s="38">
        <f t="shared" si="11"/>
        <v>14</v>
      </c>
      <c r="C97" s="10" t="s">
        <v>19</v>
      </c>
      <c r="D97" s="10">
        <f t="shared" si="10"/>
        <v>2038</v>
      </c>
      <c r="E97" s="86">
        <f>VLOOKUP($B97,'Global Private Credit'!$A$4:$S$19,E$1,0)</f>
        <v>-1.0836491797969967</v>
      </c>
      <c r="F97" s="86">
        <f>VLOOKUP($B97,'Global Private Credit'!$A$4:$S$19,F$1,0)</f>
        <v>1.3041139721186947</v>
      </c>
      <c r="G97" s="86">
        <f>VLOOKUP($B97,'Global Private Credit'!$A$4:$S$19,G$1,0)</f>
        <v>0.22046479232169808</v>
      </c>
      <c r="H97" s="86">
        <f>VLOOKUP($B97,'Global Private Credit'!$A$4:$S$19,H$1,0)</f>
        <v>0.14990642575270222</v>
      </c>
      <c r="I97" s="38"/>
      <c r="J97" s="86">
        <f>VLOOKUP($B97,'Global Private Credit'!$A$4:$S$19,J$1,0)</f>
        <v>5.5385422773545514E-6</v>
      </c>
      <c r="K97" s="86">
        <f>VLOOKUP($B97,'Global Private Credit'!$A$4:$S$19,K$1,0)</f>
        <v>2.7800928644849086E-2</v>
      </c>
      <c r="L97" s="86">
        <f>VLOOKUP($B97,'Global Private Credit'!$A$4:$S$19,L$1,0)</f>
        <v>2.7806467187126441E-2</v>
      </c>
      <c r="M97" s="86">
        <f>VLOOKUP($B97,'Global Private Credit'!$A$4:$S$19,M$1,0)</f>
        <v>0.14990642575270222</v>
      </c>
      <c r="O97" s="86">
        <f>VLOOKUP($B97,'Global Private Credit'!$A$4:$S$19,O$1,0)</f>
        <v>0.23701173718482038</v>
      </c>
      <c r="P97" s="86">
        <f>VLOOKUP($B97,'Global Private Credit'!$A$4:$S$19,P$1,0)</f>
        <v>0.24826151464688417</v>
      </c>
      <c r="Q97" s="86">
        <f>VLOOKUP($B97,'Global Private Credit'!$A$4:$S$19,Q$1,0)</f>
        <v>0.34323220014755529</v>
      </c>
      <c r="R97" s="86">
        <f>VLOOKUP($B97,'Global Private Credit'!$A$4:$S$19,R$1,0)</f>
        <v>0.33354254838413755</v>
      </c>
      <c r="S97" s="38"/>
      <c r="T97" s="86">
        <f>VLOOKUP($B97,'Global Private Credit'!$A$4:$S$19,T$1,0)</f>
        <v>2.5251396364873313E-4</v>
      </c>
      <c r="U97" s="86">
        <f>VLOOKUP($B97,'Global Private Credit'!$A$4:$S$19,U$1,0)</f>
        <v>2.3486392002430148E-2</v>
      </c>
      <c r="V97" s="86">
        <f>VLOOKUP($B97,'Global Private Credit'!$A$4:$S$19,V$1,0)</f>
        <v>2.348774941525161E-2</v>
      </c>
      <c r="W97" s="86">
        <f>VLOOKUP($B97,'Global Private Credit'!$A$4:$S$19,W$1,0)</f>
        <v>0.33354254838413755</v>
      </c>
    </row>
    <row r="98" spans="1:27" ht="15">
      <c r="A98" s="6" t="s">
        <v>40</v>
      </c>
      <c r="B98" s="38">
        <f t="shared" si="11"/>
        <v>15</v>
      </c>
      <c r="C98" s="10" t="s">
        <v>20</v>
      </c>
      <c r="D98" s="10">
        <f t="shared" si="10"/>
        <v>2039</v>
      </c>
      <c r="E98" s="86">
        <f>VLOOKUP($B98,'Global Private Credit'!$A$4:$S$19,E$1,0)</f>
        <v>-1.0837979095118695</v>
      </c>
      <c r="F98" s="86">
        <f>VLOOKUP($B98,'Global Private Credit'!$A$4:$S$19,F$1,0)</f>
        <v>1.3316609175914382</v>
      </c>
      <c r="G98" s="86">
        <f>VLOOKUP($B98,'Global Private Credit'!$A$4:$S$19,G$1,0)</f>
        <v>0.24786300807956865</v>
      </c>
      <c r="H98" s="86">
        <f>VLOOKUP($B98,'Global Private Credit'!$A$4:$S$19,H$1,0)</f>
        <v>0.14426950838034894</v>
      </c>
      <c r="I98" s="38"/>
      <c r="J98" s="86">
        <f>VLOOKUP($B98,'Global Private Credit'!$A$4:$S$19,J$1,0)</f>
        <v>-1.4872971487286794E-4</v>
      </c>
      <c r="K98" s="86">
        <f>VLOOKUP($B98,'Global Private Credit'!$A$4:$S$19,K$1,0)</f>
        <v>2.7546945472743445E-2</v>
      </c>
      <c r="L98" s="86">
        <f>VLOOKUP($B98,'Global Private Credit'!$A$4:$S$19,L$1,0)</f>
        <v>2.7398215757870575E-2</v>
      </c>
      <c r="M98" s="86">
        <f>VLOOKUP($B98,'Global Private Credit'!$A$4:$S$19,M$1,0)</f>
        <v>0.14426950838034894</v>
      </c>
      <c r="O98" s="86">
        <f>VLOOKUP($B98,'Global Private Credit'!$A$4:$S$19,O$1,0)</f>
        <v>0.23701190444728742</v>
      </c>
      <c r="P98" s="86">
        <f>VLOOKUP($B98,'Global Private Credit'!$A$4:$S$19,P$1,0)</f>
        <v>0.24962317934674444</v>
      </c>
      <c r="Q98" s="86">
        <f>VLOOKUP($B98,'Global Private Credit'!$A$4:$S$19,Q$1,0)</f>
        <v>0.3442184982201088</v>
      </c>
      <c r="R98" s="86">
        <f>VLOOKUP($B98,'Global Private Credit'!$A$4:$S$19,R$1,0)</f>
        <v>0.33371468551886946</v>
      </c>
      <c r="S98" s="38"/>
      <c r="T98" s="86">
        <f>VLOOKUP($B98,'Global Private Credit'!$A$4:$S$19,T$1,0)</f>
        <v>2.8157834387154164E-4</v>
      </c>
      <c r="U98" s="86">
        <f>VLOOKUP($B98,'Global Private Credit'!$A$4:$S$19,U$1,0)</f>
        <v>2.603751164016746E-2</v>
      </c>
      <c r="V98" s="86">
        <f>VLOOKUP($B98,'Global Private Credit'!$A$4:$S$19,V$1,0)</f>
        <v>2.6039034136764623E-2</v>
      </c>
      <c r="W98" s="86">
        <f>VLOOKUP($B98,'Global Private Credit'!$A$4:$S$19,W$1,0)</f>
        <v>0.33371468551886946</v>
      </c>
      <c r="Y98" s="94">
        <f>SUM(H98,F98)/-E98</f>
        <v>1.3618133168724507</v>
      </c>
      <c r="Z98" s="94">
        <f>SUM(M98,K84:K98)/-SUM(J84:J98)</f>
        <v>1.3618133168724504</v>
      </c>
      <c r="AA98" s="38" t="b">
        <f>Y98=Z98</f>
        <v>1</v>
      </c>
    </row>
    <row r="99" spans="1:27" ht="15">
      <c r="J99" s="28"/>
      <c r="K99" s="28"/>
      <c r="L99" s="86"/>
      <c r="M99" s="28"/>
      <c r="O99" s="28"/>
      <c r="P99" s="28"/>
      <c r="Q99" s="28"/>
      <c r="R99" s="28"/>
    </row>
    <row r="100" spans="1:27" s="38" customFormat="1" ht="15">
      <c r="A100" s="38" t="s">
        <v>42</v>
      </c>
      <c r="B100" s="38">
        <v>1</v>
      </c>
      <c r="C100" s="10" t="s">
        <v>6</v>
      </c>
      <c r="D100" s="10">
        <f>D84</f>
        <v>2025</v>
      </c>
      <c r="E100" s="86">
        <f>VLOOKUP($B100,'Global Real Estate'!$A$4:$S$19,E$1,0)</f>
        <v>-0.26326044226671136</v>
      </c>
      <c r="F100" s="86">
        <f>VLOOKUP($B100,'Global Real Estate'!$A$4:$S$19,F$1,0)</f>
        <v>5.5222732516507485E-4</v>
      </c>
      <c r="G100" s="86">
        <f>VLOOKUP($B100,'Global Real Estate'!$A$4:$S$19,G$1,0)</f>
        <v>-0.26270821494154628</v>
      </c>
      <c r="H100" s="86">
        <f>VLOOKUP($B100,'Global Real Estate'!$A$4:$S$19,H$1,0)</f>
        <v>0.25158593001900276</v>
      </c>
      <c r="J100" s="86">
        <f>VLOOKUP($B100,'Global Real Estate'!$A$4:$S$19,J$1,0)</f>
        <v>-0.26326044226671136</v>
      </c>
      <c r="K100" s="86">
        <f>VLOOKUP($B100,'Global Real Estate'!$A$4:$S$19,K$1,0)</f>
        <v>5.5222732516507485E-4</v>
      </c>
      <c r="L100" s="86">
        <f>VLOOKUP($B100,'Global Real Estate'!$A$4:$S$19,L$1,0)</f>
        <v>-0.26270821494154628</v>
      </c>
      <c r="M100" s="86">
        <f>VLOOKUP($B100,'Global Real Estate'!$A$4:$S$19,M$1,0)</f>
        <v>0.25158593001900276</v>
      </c>
      <c r="N100" s="52"/>
      <c r="O100" s="86">
        <f>VLOOKUP($B100,'Global Real Estate'!$A$4:$S$19,O$1,0)</f>
        <v>0.10540783151717087</v>
      </c>
      <c r="P100" s="86">
        <f>VLOOKUP($B100,'Global Real Estate'!$A$4:$S$19,P$1,0)</f>
        <v>1.6884429790404189E-3</v>
      </c>
      <c r="Q100" s="86">
        <f>VLOOKUP($B100,'Global Real Estate'!$A$4:$S$19,Q$1,0)</f>
        <v>0.10542135355252158</v>
      </c>
      <c r="R100" s="86">
        <f>VLOOKUP($B100,'Global Real Estate'!$A$4:$S$19,R$1,0)</f>
        <v>0.10528435012784154</v>
      </c>
      <c r="T100" s="86">
        <f>VLOOKUP($B100,'Global Real Estate'!$A$4:$S$19,T$1,0)</f>
        <v>0.10001569000031067</v>
      </c>
      <c r="U100" s="86">
        <f>VLOOKUP($B100,'Global Real Estate'!$A$4:$S$19,U$1,0)</f>
        <v>1.6884429790404189E-3</v>
      </c>
      <c r="V100" s="86">
        <f>VLOOKUP($B100,'Global Real Estate'!$A$4:$S$19,V$1,0)</f>
        <v>0.10002994094735694</v>
      </c>
      <c r="W100" s="86">
        <f>VLOOKUP($B100,'Global Real Estate'!$A$4:$S$19,W$1,0)</f>
        <v>0.10528435012784154</v>
      </c>
    </row>
    <row r="101" spans="1:27" s="38" customFormat="1" ht="15">
      <c r="A101" s="38" t="s">
        <v>42</v>
      </c>
      <c r="B101" s="38">
        <f>B100+1</f>
        <v>2</v>
      </c>
      <c r="C101" s="10" t="s">
        <v>7</v>
      </c>
      <c r="D101" s="10">
        <f t="shared" ref="D101:D114" si="12">D85</f>
        <v>2026</v>
      </c>
      <c r="E101" s="86">
        <f>VLOOKUP($B101,'Global Real Estate'!$A$4:$S$19,E$1,0)</f>
        <v>-0.55679869023231165</v>
      </c>
      <c r="F101" s="86">
        <f>VLOOKUP($B101,'Global Real Estate'!$A$4:$S$19,F$1,0)</f>
        <v>1.9335064125482443E-2</v>
      </c>
      <c r="G101" s="86">
        <f>VLOOKUP($B101,'Global Real Estate'!$A$4:$S$19,G$1,0)</f>
        <v>-0.53746362610682907</v>
      </c>
      <c r="H101" s="86">
        <f>VLOOKUP($B101,'Global Real Estate'!$A$4:$S$19,H$1,0)</f>
        <v>0.54421481356739587</v>
      </c>
      <c r="J101" s="86">
        <f>VLOOKUP($B101,'Global Real Estate'!$A$4:$S$19,J$1,0)</f>
        <v>-0.29353824796560024</v>
      </c>
      <c r="K101" s="86">
        <f>VLOOKUP($B101,'Global Real Estate'!$A$4:$S$19,K$1,0)</f>
        <v>1.8782836800317369E-2</v>
      </c>
      <c r="L101" s="86">
        <f>VLOOKUP($B101,'Global Real Estate'!$A$4:$S$19,L$1,0)</f>
        <v>-0.27475541116528285</v>
      </c>
      <c r="M101" s="86">
        <f>VLOOKUP($B101,'Global Real Estate'!$A$4:$S$19,M$1,0)</f>
        <v>0.54421481356739587</v>
      </c>
      <c r="N101" s="52"/>
      <c r="O101" s="86">
        <f>VLOOKUP($B101,'Global Real Estate'!$A$4:$S$19,O$1,0)</f>
        <v>0.12997975271381607</v>
      </c>
      <c r="P101" s="86">
        <f>VLOOKUP($B101,'Global Real Estate'!$A$4:$S$19,P$1,0)</f>
        <v>1.3049593543277021E-2</v>
      </c>
      <c r="Q101" s="86">
        <f>VLOOKUP($B101,'Global Real Estate'!$A$4:$S$19,Q$1,0)</f>
        <v>0.130633181111039</v>
      </c>
      <c r="R101" s="86">
        <f>VLOOKUP($B101,'Global Real Estate'!$A$4:$S$19,R$1,0)</f>
        <v>0.13123974412535214</v>
      </c>
      <c r="T101" s="86">
        <f>VLOOKUP($B101,'Global Real Estate'!$A$4:$S$19,T$1,0)</f>
        <v>7.6052121406259887E-2</v>
      </c>
      <c r="U101" s="86">
        <f>VLOOKUP($B101,'Global Real Estate'!$A$4:$S$19,U$1,0)</f>
        <v>1.2939901543337431E-2</v>
      </c>
      <c r="V101" s="86">
        <f>VLOOKUP($B101,'Global Real Estate'!$A$4:$S$19,V$1,0)</f>
        <v>7.7145098498503192E-2</v>
      </c>
      <c r="W101" s="86">
        <f>VLOOKUP($B101,'Global Real Estate'!$A$4:$S$19,W$1,0)</f>
        <v>0.13123974412535214</v>
      </c>
    </row>
    <row r="102" spans="1:27" s="38" customFormat="1" ht="15">
      <c r="A102" s="38" t="s">
        <v>42</v>
      </c>
      <c r="B102" s="38">
        <f t="shared" ref="B102:B114" si="13">B101+1</f>
        <v>3</v>
      </c>
      <c r="C102" s="10" t="s">
        <v>8</v>
      </c>
      <c r="D102" s="10">
        <f t="shared" si="12"/>
        <v>2027</v>
      </c>
      <c r="E102" s="86">
        <f>VLOOKUP($B102,'Global Real Estate'!$A$4:$S$19,E$1,0)</f>
        <v>-0.80115437698491343</v>
      </c>
      <c r="F102" s="86">
        <f>VLOOKUP($B102,'Global Real Estate'!$A$4:$S$19,F$1,0)</f>
        <v>8.8626674729134866E-2</v>
      </c>
      <c r="G102" s="86">
        <f>VLOOKUP($B102,'Global Real Estate'!$A$4:$S$19,G$1,0)</f>
        <v>-0.71252770225577833</v>
      </c>
      <c r="H102" s="86">
        <f>VLOOKUP($B102,'Global Real Estate'!$A$4:$S$19,H$1,0)</f>
        <v>0.77083529681209473</v>
      </c>
      <c r="J102" s="86">
        <f>VLOOKUP($B102,'Global Real Estate'!$A$4:$S$19,J$1,0)</f>
        <v>-0.24435568675260172</v>
      </c>
      <c r="K102" s="86">
        <f>VLOOKUP($B102,'Global Real Estate'!$A$4:$S$19,K$1,0)</f>
        <v>6.9291610603652423E-2</v>
      </c>
      <c r="L102" s="86">
        <f>VLOOKUP($B102,'Global Real Estate'!$A$4:$S$19,L$1,0)</f>
        <v>-0.17506407614894931</v>
      </c>
      <c r="M102" s="86">
        <f>VLOOKUP($B102,'Global Real Estate'!$A$4:$S$19,M$1,0)</f>
        <v>0.77083529681209473</v>
      </c>
      <c r="N102" s="52"/>
      <c r="O102" s="86">
        <f>VLOOKUP($B102,'Global Real Estate'!$A$4:$S$19,O$1,0)</f>
        <v>0.14693265290172577</v>
      </c>
      <c r="P102" s="86">
        <f>VLOOKUP($B102,'Global Real Estate'!$A$4:$S$19,P$1,0)</f>
        <v>3.1556278925217202E-2</v>
      </c>
      <c r="Q102" s="86">
        <f>VLOOKUP($B102,'Global Real Estate'!$A$4:$S$19,Q$1,0)</f>
        <v>0.150283076985884</v>
      </c>
      <c r="R102" s="86">
        <f>VLOOKUP($B102,'Global Real Estate'!$A$4:$S$19,R$1,0)</f>
        <v>0.15685898727646619</v>
      </c>
      <c r="T102" s="86">
        <f>VLOOKUP($B102,'Global Real Estate'!$A$4:$S$19,T$1,0)</f>
        <v>6.8516190591671466E-2</v>
      </c>
      <c r="U102" s="86">
        <f>VLOOKUP($B102,'Global Real Estate'!$A$4:$S$19,U$1,0)</f>
        <v>2.8731634968469335E-2</v>
      </c>
      <c r="V102" s="86">
        <f>VLOOKUP($B102,'Global Real Estate'!$A$4:$S$19,V$1,0)</f>
        <v>7.4296535727822591E-2</v>
      </c>
      <c r="W102" s="86">
        <f>VLOOKUP($B102,'Global Real Estate'!$A$4:$S$19,W$1,0)</f>
        <v>0.15685898727646619</v>
      </c>
    </row>
    <row r="103" spans="1:27" s="38" customFormat="1" ht="15">
      <c r="A103" s="38" t="s">
        <v>42</v>
      </c>
      <c r="B103" s="38">
        <f t="shared" si="13"/>
        <v>4</v>
      </c>
      <c r="C103" s="10" t="s">
        <v>9</v>
      </c>
      <c r="D103" s="10">
        <f t="shared" si="12"/>
        <v>2028</v>
      </c>
      <c r="E103" s="86">
        <f>VLOOKUP($B103,'Global Real Estate'!$A$4:$S$19,E$1,0)</f>
        <v>-0.91355068783538473</v>
      </c>
      <c r="F103" s="86">
        <f>VLOOKUP($B103,'Global Real Estate'!$A$4:$S$19,F$1,0)</f>
        <v>0.2574535143013944</v>
      </c>
      <c r="G103" s="86">
        <f>VLOOKUP($B103,'Global Real Estate'!$A$4:$S$19,G$1,0)</f>
        <v>-0.65609717353399011</v>
      </c>
      <c r="H103" s="86">
        <f>VLOOKUP($B103,'Global Real Estate'!$A$4:$S$19,H$1,0)</f>
        <v>0.79637051942860015</v>
      </c>
      <c r="J103" s="86">
        <f>VLOOKUP($B103,'Global Real Estate'!$A$4:$S$19,J$1,0)</f>
        <v>-0.11239631085047128</v>
      </c>
      <c r="K103" s="86">
        <f>VLOOKUP($B103,'Global Real Estate'!$A$4:$S$19,K$1,0)</f>
        <v>0.16882683957225952</v>
      </c>
      <c r="L103" s="86">
        <f>VLOOKUP($B103,'Global Real Estate'!$A$4:$S$19,L$1,0)</f>
        <v>5.6430528721788248E-2</v>
      </c>
      <c r="M103" s="86">
        <f>VLOOKUP($B103,'Global Real Estate'!$A$4:$S$19,M$1,0)</f>
        <v>0.79637051942860015</v>
      </c>
      <c r="N103" s="52"/>
      <c r="O103" s="86">
        <f>VLOOKUP($B103,'Global Real Estate'!$A$4:$S$19,O$1,0)</f>
        <v>0.15691871365241317</v>
      </c>
      <c r="P103" s="86">
        <f>VLOOKUP($B103,'Global Real Estate'!$A$4:$S$19,P$1,0)</f>
        <v>9.3892213841492669E-2</v>
      </c>
      <c r="Q103" s="86">
        <f>VLOOKUP($B103,'Global Real Estate'!$A$4:$S$19,Q$1,0)</f>
        <v>0.18286396723899609</v>
      </c>
      <c r="R103" s="86">
        <f>VLOOKUP($B103,'Global Real Estate'!$A$4:$S$19,R$1,0)</f>
        <v>0.18880952404259002</v>
      </c>
      <c r="T103" s="86">
        <f>VLOOKUP($B103,'Global Real Estate'!$A$4:$S$19,T$1,0)</f>
        <v>5.5084282745525674E-2</v>
      </c>
      <c r="U103" s="86">
        <f>VLOOKUP($B103,'Global Real Estate'!$A$4:$S$19,U$1,0)</f>
        <v>8.8430475970959696E-2</v>
      </c>
      <c r="V103" s="86">
        <f>VLOOKUP($B103,'Global Real Estate'!$A$4:$S$19,V$1,0)</f>
        <v>0.10418362292625218</v>
      </c>
      <c r="W103" s="86">
        <f>VLOOKUP($B103,'Global Real Estate'!$A$4:$S$19,W$1,0)</f>
        <v>0.18880952404259002</v>
      </c>
    </row>
    <row r="104" spans="1:27" s="38" customFormat="1" ht="15">
      <c r="A104" s="38" t="s">
        <v>42</v>
      </c>
      <c r="B104" s="38">
        <f t="shared" si="13"/>
        <v>5</v>
      </c>
      <c r="C104" s="10" t="s">
        <v>10</v>
      </c>
      <c r="D104" s="10">
        <f t="shared" si="12"/>
        <v>2029</v>
      </c>
      <c r="E104" s="86">
        <f>VLOOKUP($B104,'Global Real Estate'!$A$4:$S$19,E$1,0)</f>
        <v>-0.94869171793183382</v>
      </c>
      <c r="F104" s="86">
        <f>VLOOKUP($B104,'Global Real Estate'!$A$4:$S$19,F$1,0)</f>
        <v>0.47031842596341045</v>
      </c>
      <c r="G104" s="86">
        <f>VLOOKUP($B104,'Global Real Estate'!$A$4:$S$19,G$1,0)</f>
        <v>-0.47837329196842321</v>
      </c>
      <c r="H104" s="86">
        <f>VLOOKUP($B104,'Global Real Estate'!$A$4:$S$19,H$1,0)</f>
        <v>0.70083513347267634</v>
      </c>
      <c r="J104" s="86">
        <f>VLOOKUP($B104,'Global Real Estate'!$A$4:$S$19,J$1,0)</f>
        <v>-3.514103009644913E-2</v>
      </c>
      <c r="K104" s="86">
        <f>VLOOKUP($B104,'Global Real Estate'!$A$4:$S$19,K$1,0)</f>
        <v>0.21286491166201604</v>
      </c>
      <c r="L104" s="86">
        <f>VLOOKUP($B104,'Global Real Estate'!$A$4:$S$19,L$1,0)</f>
        <v>0.1777238815655669</v>
      </c>
      <c r="M104" s="86">
        <f>VLOOKUP($B104,'Global Real Estate'!$A$4:$S$19,M$1,0)</f>
        <v>0.70083513347267634</v>
      </c>
      <c r="N104" s="52"/>
      <c r="O104" s="86">
        <f>VLOOKUP($B104,'Global Real Estate'!$A$4:$S$19,O$1,0)</f>
        <v>0.15866725060256281</v>
      </c>
      <c r="P104" s="86">
        <f>VLOOKUP($B104,'Global Real Estate'!$A$4:$S$19,P$1,0)</f>
        <v>0.13262458562161755</v>
      </c>
      <c r="Q104" s="86">
        <f>VLOOKUP($B104,'Global Real Estate'!$A$4:$S$19,Q$1,0)</f>
        <v>0.20679597947030362</v>
      </c>
      <c r="R104" s="86">
        <f>VLOOKUP($B104,'Global Real Estate'!$A$4:$S$19,R$1,0)</f>
        <v>0.20760851527184371</v>
      </c>
      <c r="T104" s="86">
        <f>VLOOKUP($B104,'Global Real Estate'!$A$4:$S$19,T$1,0)</f>
        <v>2.3490715601029132E-2</v>
      </c>
      <c r="U104" s="86">
        <f>VLOOKUP($B104,'Global Real Estate'!$A$4:$S$19,U$1,0)</f>
        <v>9.3667138801445088E-2</v>
      </c>
      <c r="V104" s="86">
        <f>VLOOKUP($B104,'Global Real Estate'!$A$4:$S$19,V$1,0)</f>
        <v>9.6567834244626255E-2</v>
      </c>
      <c r="W104" s="86">
        <f>VLOOKUP($B104,'Global Real Estate'!$A$4:$S$19,W$1,0)</f>
        <v>0.20760851527184371</v>
      </c>
    </row>
    <row r="105" spans="1:27" s="38" customFormat="1" ht="15">
      <c r="A105" s="38" t="s">
        <v>42</v>
      </c>
      <c r="B105" s="38">
        <f t="shared" si="13"/>
        <v>6</v>
      </c>
      <c r="C105" s="10" t="s">
        <v>11</v>
      </c>
      <c r="D105" s="10">
        <f t="shared" si="12"/>
        <v>2030</v>
      </c>
      <c r="E105" s="86">
        <f>VLOOKUP($B105,'Global Real Estate'!$A$4:$S$19,E$1,0)</f>
        <v>-0.96875698055366766</v>
      </c>
      <c r="F105" s="86">
        <f>VLOOKUP($B105,'Global Real Estate'!$A$4:$S$19,F$1,0)</f>
        <v>0.65661076718911537</v>
      </c>
      <c r="G105" s="86">
        <f>VLOOKUP($B105,'Global Real Estate'!$A$4:$S$19,G$1,0)</f>
        <v>-0.31214621336455212</v>
      </c>
      <c r="H105" s="86">
        <f>VLOOKUP($B105,'Global Real Estate'!$A$4:$S$19,H$1,0)</f>
        <v>0.56013704944236131</v>
      </c>
      <c r="J105" s="86">
        <f>VLOOKUP($B105,'Global Real Estate'!$A$4:$S$19,J$1,0)</f>
        <v>-2.0065262621833856E-2</v>
      </c>
      <c r="K105" s="86">
        <f>VLOOKUP($B105,'Global Real Estate'!$A$4:$S$19,K$1,0)</f>
        <v>0.18629234122570495</v>
      </c>
      <c r="L105" s="86">
        <f>VLOOKUP($B105,'Global Real Estate'!$A$4:$S$19,L$1,0)</f>
        <v>0.16622707860387109</v>
      </c>
      <c r="M105" s="86">
        <f>VLOOKUP($B105,'Global Real Estate'!$A$4:$S$19,M$1,0)</f>
        <v>0.56013704944236131</v>
      </c>
      <c r="N105" s="52"/>
      <c r="O105" s="86">
        <f>VLOOKUP($B105,'Global Real Estate'!$A$4:$S$19,O$1,0)</f>
        <v>0.15932388176935927</v>
      </c>
      <c r="P105" s="86">
        <f>VLOOKUP($B105,'Global Real Estate'!$A$4:$S$19,P$1,0)</f>
        <v>0.15757927272741756</v>
      </c>
      <c r="Q105" s="86">
        <f>VLOOKUP($B105,'Global Real Estate'!$A$4:$S$19,Q$1,0)</f>
        <v>0.22408776516213155</v>
      </c>
      <c r="R105" s="86">
        <f>VLOOKUP($B105,'Global Real Estate'!$A$4:$S$19,R$1,0)</f>
        <v>0.22683157701941986</v>
      </c>
      <c r="T105" s="86">
        <f>VLOOKUP($B105,'Global Real Estate'!$A$4:$S$19,T$1,0)</f>
        <v>1.4450013435298387E-2</v>
      </c>
      <c r="U105" s="86">
        <f>VLOOKUP($B105,'Global Real Estate'!$A$4:$S$19,U$1,0)</f>
        <v>8.5099626802918951E-2</v>
      </c>
      <c r="V105" s="86">
        <f>VLOOKUP($B105,'Global Real Estate'!$A$4:$S$19,V$1,0)</f>
        <v>8.6317723384461351E-2</v>
      </c>
      <c r="W105" s="86">
        <f>VLOOKUP($B105,'Global Real Estate'!$A$4:$S$19,W$1,0)</f>
        <v>0.22683157701941986</v>
      </c>
    </row>
    <row r="106" spans="1:27" s="38" customFormat="1" ht="15">
      <c r="A106" s="38" t="s">
        <v>42</v>
      </c>
      <c r="B106" s="38">
        <f t="shared" si="13"/>
        <v>7</v>
      </c>
      <c r="C106" s="10" t="s">
        <v>12</v>
      </c>
      <c r="D106" s="10">
        <f t="shared" si="12"/>
        <v>2031</v>
      </c>
      <c r="E106" s="86">
        <f>VLOOKUP($B106,'Global Real Estate'!$A$4:$S$19,E$1,0)</f>
        <v>-0.97661268700412751</v>
      </c>
      <c r="F106" s="86">
        <f>VLOOKUP($B106,'Global Real Estate'!$A$4:$S$19,F$1,0)</f>
        <v>0.83082723376169298</v>
      </c>
      <c r="G106" s="86">
        <f>VLOOKUP($B106,'Global Real Estate'!$A$4:$S$19,G$1,0)</f>
        <v>-0.1457854532424343</v>
      </c>
      <c r="H106" s="86">
        <f>VLOOKUP($B106,'Global Real Estate'!$A$4:$S$19,H$1,0)</f>
        <v>0.41443711856375215</v>
      </c>
      <c r="J106" s="86">
        <f>VLOOKUP($B106,'Global Real Estate'!$A$4:$S$19,J$1,0)</f>
        <v>-7.855706450459821E-3</v>
      </c>
      <c r="K106" s="86">
        <f>VLOOKUP($B106,'Global Real Estate'!$A$4:$S$19,K$1,0)</f>
        <v>0.17421646657257764</v>
      </c>
      <c r="L106" s="86">
        <f>VLOOKUP($B106,'Global Real Estate'!$A$4:$S$19,L$1,0)</f>
        <v>0.16636076012211781</v>
      </c>
      <c r="M106" s="86">
        <f>VLOOKUP($B106,'Global Real Estate'!$A$4:$S$19,M$1,0)</f>
        <v>0.41443711856375215</v>
      </c>
      <c r="N106" s="52"/>
      <c r="O106" s="86">
        <f>VLOOKUP($B106,'Global Real Estate'!$A$4:$S$19,O$1,0)</f>
        <v>0.15952688724424099</v>
      </c>
      <c r="P106" s="86">
        <f>VLOOKUP($B106,'Global Real Estate'!$A$4:$S$19,P$1,0)</f>
        <v>0.18679153064156984</v>
      </c>
      <c r="Q106" s="86">
        <f>VLOOKUP($B106,'Global Real Estate'!$A$4:$S$19,Q$1,0)</f>
        <v>0.24564181987857303</v>
      </c>
      <c r="R106" s="86">
        <f>VLOOKUP($B106,'Global Real Estate'!$A$4:$S$19,R$1,0)</f>
        <v>0.24265266566909</v>
      </c>
      <c r="T106" s="86">
        <f>VLOOKUP($B106,'Global Real Estate'!$A$4:$S$19,T$1,0)</f>
        <v>8.0453994170585699E-3</v>
      </c>
      <c r="U106" s="86">
        <f>VLOOKUP($B106,'Global Real Estate'!$A$4:$S$19,U$1,0)</f>
        <v>0.10029879723166515</v>
      </c>
      <c r="V106" s="86">
        <f>VLOOKUP($B106,'Global Real Estate'!$A$4:$S$19,V$1,0)</f>
        <v>0.10062095794564216</v>
      </c>
      <c r="W106" s="86">
        <f>VLOOKUP($B106,'Global Real Estate'!$A$4:$S$19,W$1,0)</f>
        <v>0.24265266566909</v>
      </c>
    </row>
    <row r="107" spans="1:27" s="38" customFormat="1" ht="15">
      <c r="A107" s="38" t="s">
        <v>42</v>
      </c>
      <c r="B107" s="38">
        <f t="shared" si="13"/>
        <v>8</v>
      </c>
      <c r="C107" s="10" t="s">
        <v>13</v>
      </c>
      <c r="D107" s="10">
        <f t="shared" si="12"/>
        <v>2032</v>
      </c>
      <c r="E107" s="86">
        <f>VLOOKUP($B107,'Global Real Estate'!$A$4:$S$19,E$1,0)</f>
        <v>-0.97965832599975788</v>
      </c>
      <c r="F107" s="86">
        <f>VLOOKUP($B107,'Global Real Estate'!$A$4:$S$19,F$1,0)</f>
        <v>0.95252345507789693</v>
      </c>
      <c r="G107" s="86">
        <f>VLOOKUP($B107,'Global Real Estate'!$A$4:$S$19,G$1,0)</f>
        <v>-2.7134870921860663E-2</v>
      </c>
      <c r="H107" s="86">
        <f>VLOOKUP($B107,'Global Real Estate'!$A$4:$S$19,H$1,0)</f>
        <v>0.30967779940360729</v>
      </c>
      <c r="J107" s="86">
        <f>VLOOKUP($B107,'Global Real Estate'!$A$4:$S$19,J$1,0)</f>
        <v>-3.0456389956303471E-3</v>
      </c>
      <c r="K107" s="86">
        <f>VLOOKUP($B107,'Global Real Estate'!$A$4:$S$19,K$1,0)</f>
        <v>0.12169622131620399</v>
      </c>
      <c r="L107" s="86">
        <f>VLOOKUP($B107,'Global Real Estate'!$A$4:$S$19,L$1,0)</f>
        <v>0.11865058232057364</v>
      </c>
      <c r="M107" s="86">
        <f>VLOOKUP($B107,'Global Real Estate'!$A$4:$S$19,M$1,0)</f>
        <v>0.30967779940360729</v>
      </c>
      <c r="N107" s="52"/>
      <c r="O107" s="86">
        <f>VLOOKUP($B107,'Global Real Estate'!$A$4:$S$19,O$1,0)</f>
        <v>0.1596253730928531</v>
      </c>
      <c r="P107" s="86">
        <f>VLOOKUP($B107,'Global Real Estate'!$A$4:$S$19,P$1,0)</f>
        <v>0.19522894074272709</v>
      </c>
      <c r="Q107" s="86">
        <f>VLOOKUP($B107,'Global Real Estate'!$A$4:$S$19,Q$1,0)</f>
        <v>0.2521796959284387</v>
      </c>
      <c r="R107" s="86">
        <f>VLOOKUP($B107,'Global Real Estate'!$A$4:$S$19,R$1,0)</f>
        <v>0.25393078528012814</v>
      </c>
      <c r="T107" s="86">
        <f>VLOOKUP($B107,'Global Real Estate'!$A$4:$S$19,T$1,0)</f>
        <v>5.606423208763975E-3</v>
      </c>
      <c r="U107" s="86">
        <f>VLOOKUP($B107,'Global Real Estate'!$A$4:$S$19,U$1,0)</f>
        <v>5.677379134870883E-2</v>
      </c>
      <c r="V107" s="86">
        <f>VLOOKUP($B107,'Global Real Estate'!$A$4:$S$19,V$1,0)</f>
        <v>5.7049937469750941E-2</v>
      </c>
      <c r="W107" s="86">
        <f>VLOOKUP($B107,'Global Real Estate'!$A$4:$S$19,W$1,0)</f>
        <v>0.25393078528012814</v>
      </c>
    </row>
    <row r="108" spans="1:27" s="38" customFormat="1" ht="15">
      <c r="A108" s="38" t="s">
        <v>42</v>
      </c>
      <c r="B108" s="38">
        <f t="shared" si="13"/>
        <v>9</v>
      </c>
      <c r="C108" s="10" t="s">
        <v>14</v>
      </c>
      <c r="D108" s="10">
        <f t="shared" si="12"/>
        <v>2033</v>
      </c>
      <c r="E108" s="86">
        <f>VLOOKUP($B108,'Global Real Estate'!$A$4:$S$19,E$1,0)</f>
        <v>-0.98058606543417792</v>
      </c>
      <c r="F108" s="86">
        <f>VLOOKUP($B108,'Global Real Estate'!$A$4:$S$19,F$1,0)</f>
        <v>1.0617403791944215</v>
      </c>
      <c r="G108" s="86">
        <f>VLOOKUP($B108,'Global Real Estate'!$A$4:$S$19,G$1,0)</f>
        <v>8.1154313760243915E-2</v>
      </c>
      <c r="H108" s="86">
        <f>VLOOKUP($B108,'Global Real Estate'!$A$4:$S$19,H$1,0)</f>
        <v>0.22437039232198702</v>
      </c>
      <c r="J108" s="86">
        <f>VLOOKUP($B108,'Global Real Estate'!$A$4:$S$19,J$1,0)</f>
        <v>-9.2773943442000302E-4</v>
      </c>
      <c r="K108" s="86">
        <f>VLOOKUP($B108,'Global Real Estate'!$A$4:$S$19,K$1,0)</f>
        <v>0.10921692411652457</v>
      </c>
      <c r="L108" s="86">
        <f>VLOOKUP($B108,'Global Real Estate'!$A$4:$S$19,L$1,0)</f>
        <v>0.10828918468210458</v>
      </c>
      <c r="M108" s="86">
        <f>VLOOKUP($B108,'Global Real Estate'!$A$4:$S$19,M$1,0)</f>
        <v>0.22437039232198702</v>
      </c>
      <c r="N108" s="52"/>
      <c r="O108" s="86">
        <f>VLOOKUP($B108,'Global Real Estate'!$A$4:$S$19,O$1,0)</f>
        <v>0.15963493002707094</v>
      </c>
      <c r="P108" s="86">
        <f>VLOOKUP($B108,'Global Real Estate'!$A$4:$S$19,P$1,0)</f>
        <v>0.20992531898858682</v>
      </c>
      <c r="Q108" s="86">
        <f>VLOOKUP($B108,'Global Real Estate'!$A$4:$S$19,Q$1,0)</f>
        <v>0.26372703774396694</v>
      </c>
      <c r="R108" s="86">
        <f>VLOOKUP($B108,'Global Real Estate'!$A$4:$S$19,R$1,0)</f>
        <v>0.25933028877466585</v>
      </c>
      <c r="T108" s="86">
        <f>VLOOKUP($B108,'Global Real Estate'!$A$4:$S$19,T$1,0)</f>
        <v>1.74675405117136E-3</v>
      </c>
      <c r="U108" s="86">
        <f>VLOOKUP($B108,'Global Real Estate'!$A$4:$S$19,U$1,0)</f>
        <v>7.716411244181251E-2</v>
      </c>
      <c r="V108" s="86">
        <f>VLOOKUP($B108,'Global Real Estate'!$A$4:$S$19,V$1,0)</f>
        <v>7.7183880432691171E-2</v>
      </c>
      <c r="W108" s="86">
        <f>VLOOKUP($B108,'Global Real Estate'!$A$4:$S$19,W$1,0)</f>
        <v>0.25933028877466585</v>
      </c>
    </row>
    <row r="109" spans="1:27" s="38" customFormat="1" ht="15">
      <c r="A109" s="38" t="s">
        <v>42</v>
      </c>
      <c r="B109" s="38">
        <f t="shared" si="13"/>
        <v>10</v>
      </c>
      <c r="C109" s="10" t="s">
        <v>15</v>
      </c>
      <c r="D109" s="10">
        <f t="shared" si="12"/>
        <v>2034</v>
      </c>
      <c r="E109" s="86">
        <f>VLOOKUP($B109,'Global Real Estate'!$A$4:$S$19,E$1,0)</f>
        <v>-0.98285727256376809</v>
      </c>
      <c r="F109" s="86">
        <f>VLOOKUP($B109,'Global Real Estate'!$A$4:$S$19,F$1,0)</f>
        <v>1.1415457025028706</v>
      </c>
      <c r="G109" s="86">
        <f>VLOOKUP($B109,'Global Real Estate'!$A$4:$S$19,G$1,0)</f>
        <v>0.15868842993910273</v>
      </c>
      <c r="H109" s="86">
        <f>VLOOKUP($B109,'Global Real Estate'!$A$4:$S$19,H$1,0)</f>
        <v>0.15627263821311441</v>
      </c>
      <c r="J109" s="86">
        <f>VLOOKUP($B109,'Global Real Estate'!$A$4:$S$19,J$1,0)</f>
        <v>-2.2712071295901311E-3</v>
      </c>
      <c r="K109" s="86">
        <f>VLOOKUP($B109,'Global Real Estate'!$A$4:$S$19,K$1,0)</f>
        <v>7.9805323308448944E-2</v>
      </c>
      <c r="L109" s="86">
        <f>VLOOKUP($B109,'Global Real Estate'!$A$4:$S$19,L$1,0)</f>
        <v>7.7534116178858817E-2</v>
      </c>
      <c r="M109" s="86">
        <f>VLOOKUP($B109,'Global Real Estate'!$A$4:$S$19,M$1,0)</f>
        <v>0.15627263821311441</v>
      </c>
      <c r="N109" s="52"/>
      <c r="O109" s="86">
        <f>VLOOKUP($B109,'Global Real Estate'!$A$4:$S$19,O$1,0)</f>
        <v>0.15968848014762629</v>
      </c>
      <c r="P109" s="86">
        <f>VLOOKUP($B109,'Global Real Estate'!$A$4:$S$19,P$1,0)</f>
        <v>0.21584313760893695</v>
      </c>
      <c r="Q109" s="86">
        <f>VLOOKUP($B109,'Global Real Estate'!$A$4:$S$19,Q$1,0)</f>
        <v>0.26849333463743441</v>
      </c>
      <c r="R109" s="86">
        <f>VLOOKUP($B109,'Global Real Estate'!$A$4:$S$19,R$1,0)</f>
        <v>0.26300325705676242</v>
      </c>
      <c r="T109" s="86">
        <f>VLOOKUP($B109,'Global Real Estate'!$A$4:$S$19,T$1,0)</f>
        <v>4.1351913028307855E-3</v>
      </c>
      <c r="U109" s="86">
        <f>VLOOKUP($B109,'Global Real Estate'!$A$4:$S$19,U$1,0)</f>
        <v>5.0195821543337286E-2</v>
      </c>
      <c r="V109" s="86">
        <f>VLOOKUP($B109,'Global Real Estate'!$A$4:$S$19,V$1,0)</f>
        <v>5.0365864506842044E-2</v>
      </c>
      <c r="W109" s="86">
        <f>VLOOKUP($B109,'Global Real Estate'!$A$4:$S$19,W$1,0)</f>
        <v>0.26300325705676242</v>
      </c>
    </row>
    <row r="110" spans="1:27" s="38" customFormat="1" ht="15">
      <c r="A110" s="38" t="s">
        <v>42</v>
      </c>
      <c r="B110" s="38">
        <f t="shared" si="13"/>
        <v>11</v>
      </c>
      <c r="C110" s="10" t="s">
        <v>16</v>
      </c>
      <c r="D110" s="10">
        <f t="shared" si="12"/>
        <v>2035</v>
      </c>
      <c r="E110" s="86">
        <f>VLOOKUP($B110,'Global Real Estate'!$A$4:$S$19,E$1,0)</f>
        <v>-0.98458276225158248</v>
      </c>
      <c r="F110" s="86">
        <f>VLOOKUP($B110,'Global Real Estate'!$A$4:$S$19,F$1,0)</f>
        <v>1.2131768403966117</v>
      </c>
      <c r="G110" s="86">
        <f>VLOOKUP($B110,'Global Real Estate'!$A$4:$S$19,G$1,0)</f>
        <v>0.22859407814502955</v>
      </c>
      <c r="H110" s="86">
        <f>VLOOKUP($B110,'Global Real Estate'!$A$4:$S$19,H$1,0)</f>
        <v>0.10270342827778227</v>
      </c>
      <c r="J110" s="86">
        <f>VLOOKUP($B110,'Global Real Estate'!$A$4:$S$19,J$1,0)</f>
        <v>-1.7254896878143328E-3</v>
      </c>
      <c r="K110" s="86">
        <f>VLOOKUP($B110,'Global Real Estate'!$A$4:$S$19,K$1,0)</f>
        <v>7.1631137893741148E-2</v>
      </c>
      <c r="L110" s="86">
        <f>VLOOKUP($B110,'Global Real Estate'!$A$4:$S$19,L$1,0)</f>
        <v>6.9905648205926818E-2</v>
      </c>
      <c r="M110" s="86">
        <f>VLOOKUP($B110,'Global Real Estate'!$A$4:$S$19,M$1,0)</f>
        <v>0.10270342827778227</v>
      </c>
      <c r="N110" s="52"/>
      <c r="O110" s="86">
        <f>VLOOKUP($B110,'Global Real Estate'!$A$4:$S$19,O$1,0)</f>
        <v>0.15971722173235983</v>
      </c>
      <c r="P110" s="86">
        <f>VLOOKUP($B110,'Global Real Estate'!$A$4:$S$19,P$1,0)</f>
        <v>0.22069285277728198</v>
      </c>
      <c r="Q110" s="86">
        <f>VLOOKUP($B110,'Global Real Estate'!$A$4:$S$19,Q$1,0)</f>
        <v>0.27242416593407948</v>
      </c>
      <c r="R110" s="86">
        <f>VLOOKUP($B110,'Global Real Estate'!$A$4:$S$19,R$1,0)</f>
        <v>0.26528067205871442</v>
      </c>
      <c r="T110" s="86">
        <f>VLOOKUP($B110,'Global Real Estate'!$A$4:$S$19,T$1,0)</f>
        <v>3.029888784255589E-3</v>
      </c>
      <c r="U110" s="86">
        <f>VLOOKUP($B110,'Global Real Estate'!$A$4:$S$19,U$1,0)</f>
        <v>4.6011685625551378E-2</v>
      </c>
      <c r="V110" s="86">
        <f>VLOOKUP($B110,'Global Real Estate'!$A$4:$S$19,V$1,0)</f>
        <v>4.6111337436139592E-2</v>
      </c>
      <c r="W110" s="86">
        <f>VLOOKUP($B110,'Global Real Estate'!$A$4:$S$19,W$1,0)</f>
        <v>0.26528067205871442</v>
      </c>
    </row>
    <row r="111" spans="1:27" s="38" customFormat="1" ht="15">
      <c r="A111" s="38" t="s">
        <v>42</v>
      </c>
      <c r="B111" s="38">
        <f t="shared" si="13"/>
        <v>12</v>
      </c>
      <c r="C111" s="10" t="s">
        <v>17</v>
      </c>
      <c r="D111" s="10">
        <f t="shared" si="12"/>
        <v>2036</v>
      </c>
      <c r="E111" s="86">
        <f>VLOOKUP($B111,'Global Real Estate'!$A$4:$S$19,E$1,0)</f>
        <v>-0.98630722913849778</v>
      </c>
      <c r="F111" s="86">
        <f>VLOOKUP($B111,'Global Real Estate'!$A$4:$S$19,F$1,0)</f>
        <v>1.2511266086788606</v>
      </c>
      <c r="G111" s="86">
        <f>VLOOKUP($B111,'Global Real Estate'!$A$4:$S$19,G$1,0)</f>
        <v>0.26481937954036328</v>
      </c>
      <c r="H111" s="86">
        <f>VLOOKUP($B111,'Global Real Estate'!$A$4:$S$19,H$1,0)</f>
        <v>7.4776829291955463E-2</v>
      </c>
      <c r="J111" s="86">
        <f>VLOOKUP($B111,'Global Real Estate'!$A$4:$S$19,J$1,0)</f>
        <v>-1.7244668869152513E-3</v>
      </c>
      <c r="K111" s="86">
        <f>VLOOKUP($B111,'Global Real Estate'!$A$4:$S$19,K$1,0)</f>
        <v>3.7949768282248962E-2</v>
      </c>
      <c r="L111" s="86">
        <f>VLOOKUP($B111,'Global Real Estate'!$A$4:$S$19,L$1,0)</f>
        <v>3.6225301395333712E-2</v>
      </c>
      <c r="M111" s="86">
        <f>VLOOKUP($B111,'Global Real Estate'!$A$4:$S$19,M$1,0)</f>
        <v>7.4776829291955463E-2</v>
      </c>
      <c r="N111" s="52"/>
      <c r="O111" s="86">
        <f>VLOOKUP($B111,'Global Real Estate'!$A$4:$S$19,O$1,0)</f>
        <v>0.15974083776963552</v>
      </c>
      <c r="P111" s="86">
        <f>VLOOKUP($B111,'Global Real Estate'!$A$4:$S$19,P$1,0)</f>
        <v>0.22409968671482583</v>
      </c>
      <c r="Q111" s="86">
        <f>VLOOKUP($B111,'Global Real Estate'!$A$4:$S$19,Q$1,0)</f>
        <v>0.27520502327724344</v>
      </c>
      <c r="R111" s="86">
        <f>VLOOKUP($B111,'Global Real Estate'!$A$4:$S$19,R$1,0)</f>
        <v>0.26590282710350782</v>
      </c>
      <c r="T111" s="86">
        <f>VLOOKUP($B111,'Global Real Estate'!$A$4:$S$19,T$1,0)</f>
        <v>2.7466950033116487E-3</v>
      </c>
      <c r="U111" s="86">
        <f>VLOOKUP($B111,'Global Real Estate'!$A$4:$S$19,U$1,0)</f>
        <v>3.8927295291453626E-2</v>
      </c>
      <c r="V111" s="86">
        <f>VLOOKUP($B111,'Global Real Estate'!$A$4:$S$19,V$1,0)</f>
        <v>3.9024077851363054E-2</v>
      </c>
      <c r="W111" s="86">
        <f>VLOOKUP($B111,'Global Real Estate'!$A$4:$S$19,W$1,0)</f>
        <v>0.26590282710350782</v>
      </c>
    </row>
    <row r="112" spans="1:27" s="38" customFormat="1" ht="15">
      <c r="A112" s="38" t="s">
        <v>42</v>
      </c>
      <c r="B112" s="38">
        <f t="shared" si="13"/>
        <v>13</v>
      </c>
      <c r="C112" s="10" t="s">
        <v>18</v>
      </c>
      <c r="D112" s="10">
        <f t="shared" si="12"/>
        <v>2037</v>
      </c>
      <c r="E112" s="86">
        <f>VLOOKUP($B112,'Global Real Estate'!$A$4:$S$19,E$1,0)</f>
        <v>-0.98813696448072397</v>
      </c>
      <c r="F112" s="86">
        <f>VLOOKUP($B112,'Global Real Estate'!$A$4:$S$19,F$1,0)</f>
        <v>1.273482546163367</v>
      </c>
      <c r="G112" s="86">
        <f>VLOOKUP($B112,'Global Real Estate'!$A$4:$S$19,G$1,0)</f>
        <v>0.28534558168264335</v>
      </c>
      <c r="H112" s="86">
        <f>VLOOKUP($B112,'Global Real Estate'!$A$4:$S$19,H$1,0)</f>
        <v>6.231158518815344E-2</v>
      </c>
      <c r="J112" s="86">
        <f>VLOOKUP($B112,'Global Real Estate'!$A$4:$S$19,J$1,0)</f>
        <v>-1.8297353422262338E-3</v>
      </c>
      <c r="K112" s="86">
        <f>VLOOKUP($B112,'Global Real Estate'!$A$4:$S$19,K$1,0)</f>
        <v>2.2355937484506282E-2</v>
      </c>
      <c r="L112" s="86">
        <f>VLOOKUP($B112,'Global Real Estate'!$A$4:$S$19,L$1,0)</f>
        <v>2.0526202142280049E-2</v>
      </c>
      <c r="M112" s="86">
        <f>VLOOKUP($B112,'Global Real Estate'!$A$4:$S$19,M$1,0)</f>
        <v>6.231158518815344E-2</v>
      </c>
      <c r="N112" s="52"/>
      <c r="O112" s="86">
        <f>VLOOKUP($B112,'Global Real Estate'!$A$4:$S$19,O$1,0)</f>
        <v>0.15980329408130059</v>
      </c>
      <c r="P112" s="86">
        <f>VLOOKUP($B112,'Global Real Estate'!$A$4:$S$19,P$1,0)</f>
        <v>0.22527532180300244</v>
      </c>
      <c r="Q112" s="86">
        <f>VLOOKUP($B112,'Global Real Estate'!$A$4:$S$19,Q$1,0)</f>
        <v>0.27619931826976141</v>
      </c>
      <c r="R112" s="86">
        <f>VLOOKUP($B112,'Global Real Estate'!$A$4:$S$19,R$1,0)</f>
        <v>0.26616683618321596</v>
      </c>
      <c r="T112" s="86">
        <f>VLOOKUP($B112,'Global Real Estate'!$A$4:$S$19,T$1,0)</f>
        <v>4.4673871434680193E-3</v>
      </c>
      <c r="U112" s="86">
        <f>VLOOKUP($B112,'Global Real Estate'!$A$4:$S$19,U$1,0)</f>
        <v>2.2984799928718554E-2</v>
      </c>
      <c r="V112" s="86">
        <f>VLOOKUP($B112,'Global Real Estate'!$A$4:$S$19,V$1,0)</f>
        <v>2.3414922072320543E-2</v>
      </c>
      <c r="W112" s="86">
        <f>VLOOKUP($B112,'Global Real Estate'!$A$4:$S$19,W$1,0)</f>
        <v>0.26616683618321596</v>
      </c>
    </row>
    <row r="113" spans="1:27" s="38" customFormat="1" ht="15">
      <c r="A113" s="38" t="s">
        <v>42</v>
      </c>
      <c r="B113" s="38">
        <f t="shared" si="13"/>
        <v>14</v>
      </c>
      <c r="C113" s="10" t="s">
        <v>19</v>
      </c>
      <c r="D113" s="10">
        <f t="shared" si="12"/>
        <v>2038</v>
      </c>
      <c r="E113" s="86">
        <f>VLOOKUP($B113,'Global Real Estate'!$A$4:$S$19,E$1,0)</f>
        <v>-0.98876235355383812</v>
      </c>
      <c r="F113" s="86">
        <f>VLOOKUP($B113,'Global Real Estate'!$A$4:$S$19,F$1,0)</f>
        <v>1.2867394938550938</v>
      </c>
      <c r="G113" s="86">
        <f>VLOOKUP($B113,'Global Real Estate'!$A$4:$S$19,G$1,0)</f>
        <v>0.29797714030125588</v>
      </c>
      <c r="H113" s="86">
        <f>VLOOKUP($B113,'Global Real Estate'!$A$4:$S$19,H$1,0)</f>
        <v>5.90159624567703E-2</v>
      </c>
      <c r="J113" s="86">
        <f>VLOOKUP($B113,'Global Real Estate'!$A$4:$S$19,J$1,0)</f>
        <v>-6.2538907311421202E-4</v>
      </c>
      <c r="K113" s="86">
        <f>VLOOKUP($B113,'Global Real Estate'!$A$4:$S$19,K$1,0)</f>
        <v>1.3256947691726773E-2</v>
      </c>
      <c r="L113" s="86">
        <f>VLOOKUP($B113,'Global Real Estate'!$A$4:$S$19,L$1,0)</f>
        <v>1.2631558618612562E-2</v>
      </c>
      <c r="M113" s="86">
        <f>VLOOKUP($B113,'Global Real Estate'!$A$4:$S$19,M$1,0)</f>
        <v>5.90159624567703E-2</v>
      </c>
      <c r="N113" s="52"/>
      <c r="O113" s="86">
        <f>VLOOKUP($B113,'Global Real Estate'!$A$4:$S$19,O$1,0)</f>
        <v>0.15980971149667711</v>
      </c>
      <c r="P113" s="86">
        <f>VLOOKUP($B113,'Global Real Estate'!$A$4:$S$19,P$1,0)</f>
        <v>0.22593086397699227</v>
      </c>
      <c r="Q113" s="86">
        <f>VLOOKUP($B113,'Global Real Estate'!$A$4:$S$19,Q$1,0)</f>
        <v>0.27673796123054994</v>
      </c>
      <c r="R113" s="86">
        <f>VLOOKUP($B113,'Global Real Estate'!$A$4:$S$19,R$1,0)</f>
        <v>0.26620278562591182</v>
      </c>
      <c r="T113" s="86">
        <f>VLOOKUP($B113,'Global Real Estate'!$A$4:$S$19,T$1,0)</f>
        <v>1.4321624965512143E-3</v>
      </c>
      <c r="U113" s="86">
        <f>VLOOKUP($B113,'Global Real Estate'!$A$4:$S$19,U$1,0)</f>
        <v>1.7198391899938738E-2</v>
      </c>
      <c r="V113" s="86">
        <f>VLOOKUP($B113,'Global Real Estate'!$A$4:$S$19,V$1,0)</f>
        <v>1.725791914920238E-2</v>
      </c>
      <c r="W113" s="86">
        <f>VLOOKUP($B113,'Global Real Estate'!$A$4:$S$19,W$1,0)</f>
        <v>0.26620278562591182</v>
      </c>
    </row>
    <row r="114" spans="1:27" s="38" customFormat="1" ht="15">
      <c r="A114" s="38" t="s">
        <v>42</v>
      </c>
      <c r="B114" s="38">
        <f t="shared" si="13"/>
        <v>15</v>
      </c>
      <c r="C114" s="10" t="s">
        <v>20</v>
      </c>
      <c r="D114" s="10">
        <f t="shared" si="12"/>
        <v>2039</v>
      </c>
      <c r="E114" s="86">
        <f>VLOOKUP($B114,'Global Real Estate'!$A$4:$S$19,E$1,0)</f>
        <v>-0.98907241758259001</v>
      </c>
      <c r="F114" s="86">
        <f>VLOOKUP($B114,'Global Real Estate'!$A$4:$S$19,F$1,0)</f>
        <v>1.2974765453937329</v>
      </c>
      <c r="G114" s="86">
        <f>VLOOKUP($B114,'Global Real Estate'!$A$4:$S$19,G$1,0)</f>
        <v>0.30840412781114307</v>
      </c>
      <c r="H114" s="86">
        <f>VLOOKUP($B114,'Global Real Estate'!$A$4:$S$19,H$1,0)</f>
        <v>5.6043828120928903E-2</v>
      </c>
      <c r="J114" s="86">
        <f>VLOOKUP($B114,'Global Real Estate'!$A$4:$S$19,J$1,0)</f>
        <v>-3.1006402875188057E-4</v>
      </c>
      <c r="K114" s="86">
        <f>VLOOKUP($B114,'Global Real Estate'!$A$4:$S$19,K$1,0)</f>
        <v>1.0737051538639041E-2</v>
      </c>
      <c r="L114" s="86">
        <f>VLOOKUP($B114,'Global Real Estate'!$A$4:$S$19,L$1,0)</f>
        <v>1.0426987509887161E-2</v>
      </c>
      <c r="M114" s="86">
        <f>VLOOKUP($B114,'Global Real Estate'!$A$4:$S$19,M$1,0)</f>
        <v>5.6043828120928903E-2</v>
      </c>
      <c r="N114" s="52"/>
      <c r="O114" s="86">
        <f>VLOOKUP($B114,'Global Real Estate'!$A$4:$S$19,O$1,0)</f>
        <v>0.1598139225614531</v>
      </c>
      <c r="P114" s="86">
        <f>VLOOKUP($B114,'Global Real Estate'!$A$4:$S$19,P$1,0)</f>
        <v>0.22640265541401214</v>
      </c>
      <c r="Q114" s="86">
        <f>VLOOKUP($B114,'Global Real Estate'!$A$4:$S$19,Q$1,0)</f>
        <v>0.27712569751467303</v>
      </c>
      <c r="R114" s="86">
        <f>VLOOKUP($B114,'Global Real Estate'!$A$4:$S$19,R$1,0)</f>
        <v>0.26623708218551262</v>
      </c>
      <c r="T114" s="86">
        <f>VLOOKUP($B114,'Global Real Estate'!$A$4:$S$19,T$1,0)</f>
        <v>1.160153363552362E-3</v>
      </c>
      <c r="U114" s="86">
        <f>VLOOKUP($B114,'Global Real Estate'!$A$4:$S$19,U$1,0)</f>
        <v>1.4608459231751037E-2</v>
      </c>
      <c r="V114" s="86">
        <f>VLOOKUP($B114,'Global Real Estate'!$A$4:$S$19,V$1,0)</f>
        <v>1.4654454508875245E-2</v>
      </c>
      <c r="W114" s="86">
        <f>VLOOKUP($B114,'Global Real Estate'!$A$4:$S$19,W$1,0)</f>
        <v>0.26623708218551262</v>
      </c>
      <c r="Y114" s="94">
        <f>SUM(H114,F114)/-E114</f>
        <v>1.3684744913045153</v>
      </c>
      <c r="Z114" s="94">
        <f>SUM(M114,K100:K114)/-SUM(J100:J114)</f>
        <v>1.3684744913045153</v>
      </c>
      <c r="AA114" s="38" t="b">
        <f>Y114=Z114</f>
        <v>1</v>
      </c>
    </row>
    <row r="115" spans="1:27" s="38" customFormat="1">
      <c r="N115" s="52"/>
    </row>
    <row r="117" spans="1:27" s="6" customFormat="1">
      <c r="A117" s="1" t="s">
        <v>31</v>
      </c>
      <c r="B117" s="1"/>
      <c r="C117" s="1"/>
      <c r="D117" s="1"/>
      <c r="N117" s="52"/>
    </row>
    <row r="118" spans="1:27" s="6" customFormat="1">
      <c r="A118" s="1" t="s">
        <v>21</v>
      </c>
      <c r="B118" s="1"/>
      <c r="C118" s="29">
        <v>1</v>
      </c>
      <c r="D118" s="14"/>
      <c r="N118" s="52"/>
    </row>
    <row r="119" spans="1:27" s="6" customFormat="1">
      <c r="A119" s="1" t="s">
        <v>27</v>
      </c>
      <c r="B119" s="1"/>
      <c r="C119" s="29">
        <v>0</v>
      </c>
      <c r="D119" s="1"/>
      <c r="N119" s="52"/>
    </row>
    <row r="120" spans="1:27" s="6" customFormat="1">
      <c r="A120" s="1" t="s">
        <v>49</v>
      </c>
      <c r="B120" s="1"/>
      <c r="C120" s="29">
        <v>0</v>
      </c>
      <c r="D120" s="1"/>
      <c r="N120" s="52"/>
    </row>
    <row r="121" spans="1:27" s="38" customFormat="1">
      <c r="A121" s="1" t="s">
        <v>50</v>
      </c>
      <c r="B121" s="1"/>
      <c r="C121" s="29">
        <f>VLOOKUP($A121,'Drawdown only'!$N$4:$O$10,2,0)</f>
        <v>0</v>
      </c>
      <c r="D121" s="1"/>
      <c r="N121" s="52"/>
    </row>
    <row r="122" spans="1:27" s="38" customFormat="1">
      <c r="A122" s="1" t="s">
        <v>51</v>
      </c>
      <c r="B122" s="1"/>
      <c r="C122" s="29">
        <f>VLOOKUP($A122,'Drawdown only'!$N$4:$O$10,2,0)</f>
        <v>0</v>
      </c>
      <c r="D122" s="1"/>
      <c r="N122" s="52"/>
    </row>
    <row r="123" spans="1:27" s="38" customFormat="1">
      <c r="A123" s="1" t="s">
        <v>40</v>
      </c>
      <c r="B123" s="1"/>
      <c r="C123" s="29">
        <v>0</v>
      </c>
      <c r="D123" s="1"/>
      <c r="N123" s="52"/>
    </row>
    <row r="124" spans="1:27" s="38" customFormat="1">
      <c r="A124" s="1" t="s">
        <v>42</v>
      </c>
      <c r="B124" s="1"/>
      <c r="C124" s="29">
        <v>0</v>
      </c>
      <c r="D124" s="1"/>
      <c r="N124" s="52"/>
    </row>
    <row r="125" spans="1:27" s="6" customFormat="1">
      <c r="B125" s="38"/>
      <c r="N125" s="52"/>
    </row>
    <row r="126" spans="1:27" ht="15">
      <c r="A126" s="6" t="s">
        <v>32</v>
      </c>
      <c r="C126" s="10" t="s">
        <v>6</v>
      </c>
      <c r="D126" s="10">
        <f t="shared" ref="D126:D140" si="14">D84</f>
        <v>2025</v>
      </c>
      <c r="E126" s="13">
        <f>SUM($C$118*E4,$C$119*E20,$C$120*E36,$C$121*E52,$C$122*E68,$C$123*E84,$C$124*E100)</f>
        <v>-0.17233232359810929</v>
      </c>
      <c r="F126" s="13">
        <f>SUM($C$118*F4,$C$119*F20,$C$120*F36,$C$121*F52,$C$122*F68,$C$123*F84,$C$124*F100)</f>
        <v>0</v>
      </c>
      <c r="G126" s="13">
        <f t="shared" ref="G126:H126" si="15">SUM($C$118*G4,$C$119*G20,$C$120*G36,$C$121*G52,$C$122*G68,$C$123*G84,$C$124*G100)</f>
        <v>-0.17233232359810929</v>
      </c>
      <c r="H126" s="13">
        <f t="shared" si="15"/>
        <v>0.15892278156653575</v>
      </c>
      <c r="J126" s="12">
        <f>E126</f>
        <v>-0.17233232359810929</v>
      </c>
      <c r="K126" s="12">
        <f>F126</f>
        <v>0</v>
      </c>
      <c r="L126" s="12">
        <f>SUM(J126:K126)</f>
        <v>-0.17233232359810929</v>
      </c>
      <c r="M126" s="12">
        <f>H126</f>
        <v>0.15892278156653575</v>
      </c>
      <c r="O126" s="13">
        <f>SUM($C$118*O4,$C$119*O20,$C$120*O36,$C$121*O52,$C$122*O68,$C$123*O84,$C$124*O100)</f>
        <v>7.1281608411430983E-2</v>
      </c>
      <c r="P126" s="13">
        <f t="shared" ref="P126:R126" si="16">SUM($C$118*P4,$C$119*P20,$C$120*P36,$C$121*P52,$C$122*P68,$C$123*P84,$C$124*P100)</f>
        <v>0</v>
      </c>
      <c r="Q126" s="13">
        <f t="shared" si="16"/>
        <v>7.1281608411430983E-2</v>
      </c>
      <c r="R126" s="13">
        <f t="shared" si="16"/>
        <v>6.9514520121753867E-2</v>
      </c>
      <c r="T126" s="13">
        <f>SUM($C$118*T4,$C$119*T20,$C$120*T36,$C$121*T52,$C$122*T68,$C$123*T84,$C$124*T100)</f>
        <v>6.6877745330482949E-2</v>
      </c>
      <c r="U126" s="13">
        <f t="shared" ref="U126:W126" si="17">SUM($C$118*U4,$C$119*U20,$C$120*U36,$C$121*U52,$C$122*U68,$C$123*U84,$C$124*U100)</f>
        <v>0</v>
      </c>
      <c r="V126" s="13">
        <f t="shared" si="17"/>
        <v>6.6877745330482949E-2</v>
      </c>
      <c r="W126" s="13">
        <f t="shared" si="17"/>
        <v>6.9514520121753867E-2</v>
      </c>
      <c r="Y126" s="94">
        <f t="shared" ref="Y126:Y139" si="18">SUM(H126,F126)/-E126</f>
        <v>0.92218788819417585</v>
      </c>
    </row>
    <row r="127" spans="1:27" ht="15">
      <c r="A127" s="6" t="s">
        <v>32</v>
      </c>
      <c r="C127" s="10" t="s">
        <v>7</v>
      </c>
      <c r="D127" s="10">
        <f t="shared" si="14"/>
        <v>2026</v>
      </c>
      <c r="E127" s="13">
        <f t="shared" ref="E127:H127" si="19">SUM($C$118*E5,$C$119*E21,$C$120*E37,$C$121*E53,$C$122*E69,$C$123*E85,$C$124*E101)</f>
        <v>-0.37092874818135502</v>
      </c>
      <c r="F127" s="13">
        <f t="shared" si="19"/>
        <v>7.6937362002720033E-4</v>
      </c>
      <c r="G127" s="13">
        <f t="shared" si="19"/>
        <v>-0.37015937456132786</v>
      </c>
      <c r="H127" s="13">
        <f t="shared" si="19"/>
        <v>0.35326424136759538</v>
      </c>
      <c r="J127" s="12">
        <f t="shared" ref="J127" si="20">E127-E126</f>
        <v>-0.19859642458324572</v>
      </c>
      <c r="K127" s="12">
        <f t="shared" ref="K127" si="21">F127-F126</f>
        <v>7.6937362002720033E-4</v>
      </c>
      <c r="L127" s="12">
        <f t="shared" ref="L127" si="22">SUM(J127:K127)</f>
        <v>-0.19782705096321851</v>
      </c>
      <c r="M127" s="12">
        <f t="shared" ref="M127" si="23">H127</f>
        <v>0.35326424136759538</v>
      </c>
      <c r="O127" s="13">
        <f t="shared" ref="O127:R127" si="24">SUM($C$118*O5,$C$119*O21,$C$120*O37,$C$121*O53,$C$122*O69,$C$123*O85,$C$124*O101)</f>
        <v>8.8515871514899286E-2</v>
      </c>
      <c r="P127" s="13">
        <f t="shared" si="24"/>
        <v>2.1904756194433359E-3</v>
      </c>
      <c r="Q127" s="13">
        <f t="shared" si="24"/>
        <v>8.854297088691758E-2</v>
      </c>
      <c r="R127" s="13">
        <f t="shared" si="24"/>
        <v>8.7742983674334252E-2</v>
      </c>
      <c r="T127" s="13">
        <f t="shared" ref="T127:W127" si="25">SUM($C$118*T5,$C$119*T21,$C$120*T37,$C$121*T53,$C$122*T69,$C$123*T85,$C$124*T101)</f>
        <v>5.2478489043812714E-2</v>
      </c>
      <c r="U127" s="13">
        <f t="shared" si="25"/>
        <v>2.1904756194433359E-3</v>
      </c>
      <c r="V127" s="13">
        <f t="shared" si="25"/>
        <v>5.2524184865268941E-2</v>
      </c>
      <c r="W127" s="13">
        <f t="shared" si="25"/>
        <v>8.7742983674334252E-2</v>
      </c>
      <c r="Y127" s="94">
        <f t="shared" si="18"/>
        <v>0.95445180974360055</v>
      </c>
    </row>
    <row r="128" spans="1:27" ht="15">
      <c r="A128" s="6" t="s">
        <v>32</v>
      </c>
      <c r="C128" s="10" t="s">
        <v>8</v>
      </c>
      <c r="D128" s="10">
        <f t="shared" si="14"/>
        <v>2027</v>
      </c>
      <c r="E128" s="13">
        <f t="shared" ref="E128:H128" si="26">SUM($C$118*E6,$C$119*E22,$C$120*E38,$C$121*E54,$C$122*E70,$C$123*E86,$C$124*E102)</f>
        <v>-0.58357967089684737</v>
      </c>
      <c r="F128" s="13">
        <f t="shared" si="26"/>
        <v>2.1861211299316688E-2</v>
      </c>
      <c r="G128" s="13">
        <f t="shared" si="26"/>
        <v>-0.56171845959753064</v>
      </c>
      <c r="H128" s="13">
        <f t="shared" si="26"/>
        <v>0.57458795753669567</v>
      </c>
      <c r="J128" s="12">
        <f t="shared" ref="J128:J140" si="27">E128-E127</f>
        <v>-0.21265092271549235</v>
      </c>
      <c r="K128" s="12">
        <f t="shared" ref="K128:K140" si="28">F128-F127</f>
        <v>2.1091837679289488E-2</v>
      </c>
      <c r="L128" s="12">
        <f t="shared" ref="L128:L140" si="29">SUM(J128:K128)</f>
        <v>-0.19155908503620286</v>
      </c>
      <c r="M128" s="12">
        <f t="shared" ref="M128:M140" si="30">H128</f>
        <v>0.57458795753669567</v>
      </c>
      <c r="O128" s="13">
        <f t="shared" ref="O128:R128" si="31">SUM($C$118*O6,$C$119*O22,$C$120*O38,$C$121*O54,$C$122*O70,$C$123*O86,$C$124*O102)</f>
        <v>0.1077637057612541</v>
      </c>
      <c r="P128" s="13">
        <f t="shared" si="31"/>
        <v>1.9305403471909136E-2</v>
      </c>
      <c r="Q128" s="13">
        <f t="shared" si="31"/>
        <v>0.10947928974290687</v>
      </c>
      <c r="R128" s="13">
        <f t="shared" si="31"/>
        <v>0.11673266770662002</v>
      </c>
      <c r="T128" s="13">
        <f t="shared" ref="T128:W128" si="32">SUM($C$118*T6,$C$119*T22,$C$120*T38,$C$121*T54,$C$122*T70,$C$123*T86,$C$124*T102)</f>
        <v>6.1465085775226844E-2</v>
      </c>
      <c r="U128" s="13">
        <f t="shared" si="32"/>
        <v>1.9180730428579242E-2</v>
      </c>
      <c r="V128" s="13">
        <f t="shared" si="32"/>
        <v>6.438833115658317E-2</v>
      </c>
      <c r="W128" s="13">
        <f t="shared" si="32"/>
        <v>0.11673266770662002</v>
      </c>
      <c r="Y128" s="94">
        <f t="shared" si="18"/>
        <v>1.0220526837739004</v>
      </c>
    </row>
    <row r="129" spans="1:27" ht="15">
      <c r="A129" s="6" t="s">
        <v>32</v>
      </c>
      <c r="C129" s="10" t="s">
        <v>9</v>
      </c>
      <c r="D129" s="10">
        <f t="shared" si="14"/>
        <v>2028</v>
      </c>
      <c r="E129" s="13">
        <f t="shared" ref="E129:H129" si="33">SUM($C$118*E7,$C$119*E23,$C$120*E39,$C$121*E55,$C$122*E71,$C$123*E87,$C$124*E103)</f>
        <v>-0.76905384944879507</v>
      </c>
      <c r="F129" s="13">
        <f t="shared" si="33"/>
        <v>0.10738942961723795</v>
      </c>
      <c r="G129" s="13">
        <f t="shared" si="33"/>
        <v>-0.66166441983155699</v>
      </c>
      <c r="H129" s="13">
        <f t="shared" si="33"/>
        <v>0.75100412679851947</v>
      </c>
      <c r="J129" s="12">
        <f t="shared" si="27"/>
        <v>-0.1854741785519477</v>
      </c>
      <c r="K129" s="12">
        <f t="shared" si="28"/>
        <v>8.5528218317921262E-2</v>
      </c>
      <c r="L129" s="12">
        <f t="shared" si="29"/>
        <v>-9.9945960234026437E-2</v>
      </c>
      <c r="M129" s="12">
        <f t="shared" si="30"/>
        <v>0.75100412679851947</v>
      </c>
      <c r="O129" s="13">
        <f t="shared" ref="O129:R129" si="34">SUM($C$118*O7,$C$119*O23,$C$120*O39,$C$121*O55,$C$122*O71,$C$123*O87,$C$124*O103)</f>
        <v>0.11925916890920266</v>
      </c>
      <c r="P129" s="13">
        <f t="shared" si="34"/>
        <v>5.3021567158643368E-2</v>
      </c>
      <c r="Q129" s="13">
        <f t="shared" si="34"/>
        <v>0.1305145047604758</v>
      </c>
      <c r="R129" s="13">
        <f t="shared" si="34"/>
        <v>0.1439329916398189</v>
      </c>
      <c r="T129" s="13">
        <f t="shared" ref="T129:W129" si="35">SUM($C$118*T7,$C$119*T23,$C$120*T39,$C$121*T55,$C$122*T71,$C$123*T87,$C$124*T103)</f>
        <v>5.1085546777102989E-2</v>
      </c>
      <c r="U129" s="13">
        <f t="shared" si="35"/>
        <v>4.9382061325397582E-2</v>
      </c>
      <c r="V129" s="13">
        <f t="shared" si="35"/>
        <v>7.1051538127340386E-2</v>
      </c>
      <c r="W129" s="13">
        <f t="shared" si="35"/>
        <v>0.1439329916398189</v>
      </c>
      <c r="Y129" s="94">
        <f t="shared" si="18"/>
        <v>1.1161683372770255</v>
      </c>
    </row>
    <row r="130" spans="1:27" ht="15">
      <c r="A130" s="6" t="s">
        <v>32</v>
      </c>
      <c r="C130" s="10" t="s">
        <v>10</v>
      </c>
      <c r="D130" s="10">
        <f t="shared" si="14"/>
        <v>2029</v>
      </c>
      <c r="E130" s="13">
        <f t="shared" ref="E130:H130" si="36">SUM($C$118*E8,$C$119*E24,$C$120*E40,$C$121*E56,$C$122*E72,$C$123*E88,$C$124*E104)</f>
        <v>-0.88469937059644466</v>
      </c>
      <c r="F130" s="13">
        <f t="shared" si="36"/>
        <v>0.27487377153661707</v>
      </c>
      <c r="G130" s="13">
        <f t="shared" si="36"/>
        <v>-0.60982559905982747</v>
      </c>
      <c r="H130" s="13">
        <f t="shared" si="36"/>
        <v>0.84207638543895191</v>
      </c>
      <c r="J130" s="12">
        <f t="shared" si="27"/>
        <v>-0.11564552114764959</v>
      </c>
      <c r="K130" s="12">
        <f t="shared" si="28"/>
        <v>0.16748434191937911</v>
      </c>
      <c r="L130" s="12">
        <f t="shared" si="29"/>
        <v>5.1838820771729521E-2</v>
      </c>
      <c r="M130" s="12">
        <f t="shared" si="30"/>
        <v>0.84207638543895191</v>
      </c>
      <c r="O130" s="13">
        <f t="shared" ref="O130:R130" si="37">SUM($C$118*O8,$C$119*O24,$C$120*O40,$C$121*O56,$C$122*O72,$C$123*O88,$C$124*O104)</f>
        <v>0.13066982062782156</v>
      </c>
      <c r="P130" s="13">
        <f t="shared" si="37"/>
        <v>0.10392417570849505</v>
      </c>
      <c r="Q130" s="13">
        <f t="shared" si="37"/>
        <v>0.16695758838578503</v>
      </c>
      <c r="R130" s="13">
        <f t="shared" si="37"/>
        <v>0.18199231374330344</v>
      </c>
      <c r="T130" s="13">
        <f t="shared" ref="T130:W130" si="38">SUM($C$118*T8,$C$119*T24,$C$120*T40,$C$121*T56,$C$122*T72,$C$123*T88,$C$124*T104)</f>
        <v>5.3402740135627264E-2</v>
      </c>
      <c r="U130" s="13">
        <f t="shared" si="38"/>
        <v>8.9380913581880689E-2</v>
      </c>
      <c r="V130" s="13">
        <f t="shared" si="38"/>
        <v>0.10411916426251681</v>
      </c>
      <c r="W130" s="13">
        <f t="shared" si="38"/>
        <v>0.18199231374330344</v>
      </c>
      <c r="Y130" s="94">
        <f t="shared" si="18"/>
        <v>1.2625194434382225</v>
      </c>
    </row>
    <row r="131" spans="1:27" ht="15">
      <c r="A131" s="6" t="s">
        <v>32</v>
      </c>
      <c r="C131" s="10" t="s">
        <v>11</v>
      </c>
      <c r="D131" s="10">
        <f t="shared" si="14"/>
        <v>2030</v>
      </c>
      <c r="E131" s="13">
        <f t="shared" ref="E131:H131" si="39">SUM($C$118*E9,$C$119*E25,$C$120*E41,$C$121*E57,$C$122*E73,$C$123*E89,$C$124*E105)</f>
        <v>-0.94336314855207482</v>
      </c>
      <c r="F131" s="13">
        <f t="shared" si="39"/>
        <v>0.45826327230010255</v>
      </c>
      <c r="G131" s="13">
        <f t="shared" si="39"/>
        <v>-0.4850998762519721</v>
      </c>
      <c r="H131" s="13">
        <f t="shared" si="39"/>
        <v>0.80576574034578041</v>
      </c>
      <c r="J131" s="12">
        <f t="shared" si="27"/>
        <v>-5.8663777955630159E-2</v>
      </c>
      <c r="K131" s="12">
        <f t="shared" si="28"/>
        <v>0.18338950076348548</v>
      </c>
      <c r="L131" s="12">
        <f t="shared" si="29"/>
        <v>0.12472572280785532</v>
      </c>
      <c r="M131" s="12">
        <f t="shared" si="30"/>
        <v>0.80576574034578041</v>
      </c>
      <c r="O131" s="13">
        <f t="shared" ref="O131:R131" si="40">SUM($C$118*O9,$C$119*O25,$C$120*O41,$C$121*O57,$C$122*O73,$C$123*O89,$C$124*O105)</f>
        <v>0.13532510245846824</v>
      </c>
      <c r="P131" s="13">
        <f t="shared" si="40"/>
        <v>0.13814560025826544</v>
      </c>
      <c r="Q131" s="13">
        <f t="shared" si="40"/>
        <v>0.1933832728705133</v>
      </c>
      <c r="R131" s="13">
        <f t="shared" si="40"/>
        <v>0.20880906401934268</v>
      </c>
      <c r="T131" s="13">
        <f t="shared" ref="T131:W131" si="41">SUM($C$118*T9,$C$119*T25,$C$120*T41,$C$121*T57,$C$122*T73,$C$123*T89,$C$124*T105)</f>
        <v>3.5189221822709629E-2</v>
      </c>
      <c r="U131" s="13">
        <f t="shared" si="41"/>
        <v>9.1016331358862834E-2</v>
      </c>
      <c r="V131" s="13">
        <f t="shared" si="41"/>
        <v>9.7582036802447314E-2</v>
      </c>
      <c r="W131" s="13">
        <f t="shared" si="41"/>
        <v>0.20880906401934268</v>
      </c>
      <c r="Y131" s="94">
        <f t="shared" si="18"/>
        <v>1.3399177343168254</v>
      </c>
    </row>
    <row r="132" spans="1:27" ht="15">
      <c r="A132" s="6" t="s">
        <v>32</v>
      </c>
      <c r="C132" s="10" t="s">
        <v>12</v>
      </c>
      <c r="D132" s="10">
        <f t="shared" si="14"/>
        <v>2031</v>
      </c>
      <c r="E132" s="13">
        <f t="shared" ref="E132:H132" si="42">SUM($C$118*E10,$C$119*E26,$C$120*E42,$C$121*E58,$C$122*E74,$C$123*E90,$C$124*E106)</f>
        <v>-0.96986042946049511</v>
      </c>
      <c r="F132" s="13">
        <f t="shared" si="42"/>
        <v>0.70712163711832299</v>
      </c>
      <c r="G132" s="13">
        <f t="shared" si="42"/>
        <v>-0.2627387923421719</v>
      </c>
      <c r="H132" s="13">
        <f t="shared" si="42"/>
        <v>0.73381849247098685</v>
      </c>
      <c r="J132" s="12">
        <f t="shared" si="27"/>
        <v>-2.6497280908420295E-2</v>
      </c>
      <c r="K132" s="12">
        <f t="shared" si="28"/>
        <v>0.24885836481822043</v>
      </c>
      <c r="L132" s="12">
        <f t="shared" si="29"/>
        <v>0.22236108390980014</v>
      </c>
      <c r="M132" s="12">
        <f t="shared" si="30"/>
        <v>0.73381849247098685</v>
      </c>
      <c r="O132" s="13">
        <f t="shared" ref="O132:R132" si="43">SUM($C$118*O10,$C$119*O26,$C$120*O42,$C$121*O58,$C$122*O74,$C$123*O90,$C$124*O106)</f>
        <v>0.13669496616738241</v>
      </c>
      <c r="P132" s="13">
        <f t="shared" si="43"/>
        <v>0.19714220493302964</v>
      </c>
      <c r="Q132" s="13">
        <f t="shared" si="43"/>
        <v>0.23989698360204215</v>
      </c>
      <c r="R132" s="13">
        <f t="shared" si="43"/>
        <v>0.23325753183827205</v>
      </c>
      <c r="T132" s="13">
        <f t="shared" ref="T132:W132" si="44">SUM($C$118*T10,$C$119*T26,$C$120*T42,$C$121*T58,$C$122*T74,$C$123*T90,$C$124*T106)</f>
        <v>1.9303637483823896E-2</v>
      </c>
      <c r="U132" s="13">
        <f t="shared" si="44"/>
        <v>0.14064438166930163</v>
      </c>
      <c r="V132" s="13">
        <f t="shared" si="44"/>
        <v>0.14196292655213572</v>
      </c>
      <c r="W132" s="13">
        <f t="shared" si="44"/>
        <v>0.23325753183827205</v>
      </c>
      <c r="Y132" s="94">
        <f t="shared" si="18"/>
        <v>1.4857190641243736</v>
      </c>
    </row>
    <row r="133" spans="1:27" ht="15">
      <c r="A133" s="6" t="s">
        <v>32</v>
      </c>
      <c r="C133" s="10" t="s">
        <v>13</v>
      </c>
      <c r="D133" s="10">
        <f t="shared" si="14"/>
        <v>2032</v>
      </c>
      <c r="E133" s="13">
        <f t="shared" ref="E133:H133" si="45">SUM($C$118*E11,$C$119*E27,$C$120*E43,$C$121*E59,$C$122*E75,$C$123*E91,$C$124*E107)</f>
        <v>-0.98544814806943715</v>
      </c>
      <c r="F133" s="13">
        <f t="shared" si="45"/>
        <v>0.94934789942433051</v>
      </c>
      <c r="G133" s="13">
        <f t="shared" si="45"/>
        <v>-3.6100248645106497E-2</v>
      </c>
      <c r="H133" s="13">
        <f t="shared" si="45"/>
        <v>0.62205366612592261</v>
      </c>
      <c r="J133" s="12">
        <f t="shared" si="27"/>
        <v>-1.5587718608942036E-2</v>
      </c>
      <c r="K133" s="12">
        <f t="shared" si="28"/>
        <v>0.24222626230600752</v>
      </c>
      <c r="L133" s="12">
        <f t="shared" si="29"/>
        <v>0.22663854369706549</v>
      </c>
      <c r="M133" s="12">
        <f t="shared" si="30"/>
        <v>0.62205366612592261</v>
      </c>
      <c r="O133" s="13">
        <f t="shared" ref="O133:R133" si="46">SUM($C$118*O11,$C$119*O27,$C$120*O43,$C$121*O59,$C$122*O75,$C$123*O91,$C$124*O107)</f>
        <v>0.13737404860925176</v>
      </c>
      <c r="P133" s="13">
        <f t="shared" si="46"/>
        <v>0.23161404312420752</v>
      </c>
      <c r="Q133" s="13">
        <f t="shared" si="46"/>
        <v>0.26928923893026124</v>
      </c>
      <c r="R133" s="13">
        <f t="shared" si="46"/>
        <v>0.25240623603936407</v>
      </c>
      <c r="T133" s="13">
        <f t="shared" ref="T133:W133" si="47">SUM($C$118*T11,$C$119*T27,$C$120*T43,$C$121*T59,$C$122*T75,$C$123*T91,$C$124*T107)</f>
        <v>1.364241385515196E-2</v>
      </c>
      <c r="U133" s="13">
        <f t="shared" si="47"/>
        <v>0.12157308915416112</v>
      </c>
      <c r="V133" s="13">
        <f t="shared" si="47"/>
        <v>0.12233614127591588</v>
      </c>
      <c r="W133" s="13">
        <f t="shared" si="47"/>
        <v>0.25240623603936407</v>
      </c>
      <c r="Y133" s="94">
        <f t="shared" si="18"/>
        <v>1.594606036480702</v>
      </c>
    </row>
    <row r="134" spans="1:27" ht="15">
      <c r="A134" s="6" t="s">
        <v>32</v>
      </c>
      <c r="C134" s="10" t="s">
        <v>14</v>
      </c>
      <c r="D134" s="10">
        <f t="shared" si="14"/>
        <v>2033</v>
      </c>
      <c r="E134" s="13">
        <f t="shared" ref="E134:H134" si="48">SUM($C$118*E12,$C$119*E28,$C$120*E44,$C$121*E60,$C$122*E76,$C$123*E92,$C$124*E108)</f>
        <v>-0.99133125369498942</v>
      </c>
      <c r="F134" s="13">
        <f t="shared" si="48"/>
        <v>1.147734042779661</v>
      </c>
      <c r="G134" s="13">
        <f t="shared" si="48"/>
        <v>0.15640278908467159</v>
      </c>
      <c r="H134" s="13">
        <f t="shared" si="48"/>
        <v>0.4928914870047667</v>
      </c>
      <c r="J134" s="12">
        <f t="shared" si="27"/>
        <v>-5.8831056255522762E-3</v>
      </c>
      <c r="K134" s="12">
        <f t="shared" si="28"/>
        <v>0.19838614335533045</v>
      </c>
      <c r="L134" s="12">
        <f t="shared" si="29"/>
        <v>0.19250303772977817</v>
      </c>
      <c r="M134" s="12">
        <f t="shared" si="30"/>
        <v>0.4928914870047667</v>
      </c>
      <c r="O134" s="13">
        <f t="shared" ref="O134:R134" si="49">SUM($C$118*O12,$C$119*O28,$C$120*O44,$C$121*O60,$C$122*O76,$C$123*O92,$C$124*O108)</f>
        <v>0.13749785930195446</v>
      </c>
      <c r="P134" s="13">
        <f t="shared" si="49"/>
        <v>0.25003305427056033</v>
      </c>
      <c r="Q134" s="13">
        <f t="shared" si="49"/>
        <v>0.28534573685353182</v>
      </c>
      <c r="R134" s="13">
        <f t="shared" si="49"/>
        <v>0.26996866113057627</v>
      </c>
      <c r="T134" s="13">
        <f t="shared" ref="T134:W134" si="50">SUM($C$118*T12,$C$119*T28,$C$120*T44,$C$121*T60,$C$122*T76,$C$123*T92,$C$124*T108)</f>
        <v>5.8337021969756169E-3</v>
      </c>
      <c r="U134" s="13">
        <f t="shared" si="50"/>
        <v>9.4188445445939392E-2</v>
      </c>
      <c r="V134" s="13">
        <f t="shared" si="50"/>
        <v>9.4368932053116403E-2</v>
      </c>
      <c r="W134" s="13">
        <f t="shared" si="50"/>
        <v>0.26996866113057627</v>
      </c>
      <c r="Y134" s="94">
        <f t="shared" si="18"/>
        <v>1.654972062738185</v>
      </c>
    </row>
    <row r="135" spans="1:27" ht="15">
      <c r="A135" s="6" t="s">
        <v>32</v>
      </c>
      <c r="C135" s="10" t="s">
        <v>15</v>
      </c>
      <c r="D135" s="10">
        <f t="shared" si="14"/>
        <v>2034</v>
      </c>
      <c r="E135" s="13">
        <f t="shared" ref="E135:H135" si="51">SUM($C$118*E13,$C$119*E29,$C$120*E45,$C$121*E61,$C$122*E77,$C$123*E93,$C$124*E109)</f>
        <v>-0.99542106910602524</v>
      </c>
      <c r="F135" s="13">
        <f t="shared" si="51"/>
        <v>1.2947567172496204</v>
      </c>
      <c r="G135" s="13">
        <f t="shared" si="51"/>
        <v>0.29933564814359515</v>
      </c>
      <c r="H135" s="13">
        <f t="shared" si="51"/>
        <v>0.40109495981181564</v>
      </c>
      <c r="J135" s="12">
        <f t="shared" si="27"/>
        <v>-4.0898154110358131E-3</v>
      </c>
      <c r="K135" s="12">
        <f t="shared" si="28"/>
        <v>0.14702267446995942</v>
      </c>
      <c r="L135" s="12">
        <f t="shared" si="29"/>
        <v>0.14293285905892361</v>
      </c>
      <c r="M135" s="12">
        <f t="shared" si="30"/>
        <v>0.40109495981181564</v>
      </c>
      <c r="O135" s="13">
        <f t="shared" ref="O135:R135" si="52">SUM($C$118*O13,$C$119*O29,$C$120*O45,$C$121*O61,$C$122*O77,$C$123*O93,$C$124*O109)</f>
        <v>0.13758569963360429</v>
      </c>
      <c r="P135" s="13">
        <f t="shared" si="52"/>
        <v>0.26634634035839749</v>
      </c>
      <c r="Q135" s="13">
        <f t="shared" si="52"/>
        <v>0.29978358488412882</v>
      </c>
      <c r="R135" s="13">
        <f t="shared" si="52"/>
        <v>0.27855749823867504</v>
      </c>
      <c r="T135" s="13">
        <f t="shared" ref="T135:W135" si="53">SUM($C$118*T13,$C$119*T29,$C$120*T45,$C$121*T61,$C$122*T77,$C$123*T93,$C$124*T109)</f>
        <v>4.9156312970267645E-3</v>
      </c>
      <c r="U135" s="13">
        <f t="shared" si="53"/>
        <v>9.1781505732071847E-2</v>
      </c>
      <c r="V135" s="13">
        <f t="shared" si="53"/>
        <v>9.1913047090685915E-2</v>
      </c>
      <c r="W135" s="13">
        <f t="shared" si="53"/>
        <v>0.27855749823867504</v>
      </c>
      <c r="Y135" s="94">
        <f t="shared" si="18"/>
        <v>1.7036525845132637</v>
      </c>
    </row>
    <row r="136" spans="1:27" ht="15">
      <c r="A136" s="6" t="s">
        <v>32</v>
      </c>
      <c r="C136" s="10" t="s">
        <v>16</v>
      </c>
      <c r="D136" s="10">
        <f t="shared" si="14"/>
        <v>2035</v>
      </c>
      <c r="E136" s="13">
        <f t="shared" ref="E136:H136" si="54">SUM($C$118*E14,$C$119*E30,$C$120*E46,$C$121*E62,$C$122*E78,$C$123*E94,$C$124*E110)</f>
        <v>-0.99813878237013021</v>
      </c>
      <c r="F136" s="13">
        <f t="shared" si="54"/>
        <v>1.4468900227881476</v>
      </c>
      <c r="G136" s="13">
        <f t="shared" si="54"/>
        <v>0.44875124041801751</v>
      </c>
      <c r="H136" s="13">
        <f t="shared" si="54"/>
        <v>0.30114430709292661</v>
      </c>
      <c r="J136" s="12">
        <f t="shared" si="27"/>
        <v>-2.7177132641049706E-3</v>
      </c>
      <c r="K136" s="12">
        <f t="shared" si="28"/>
        <v>0.15213330553852722</v>
      </c>
      <c r="L136" s="12">
        <f t="shared" si="29"/>
        <v>0.14941559227442225</v>
      </c>
      <c r="M136" s="12">
        <f t="shared" si="30"/>
        <v>0.30114430709292661</v>
      </c>
      <c r="O136" s="13">
        <f t="shared" ref="O136:R136" si="55">SUM($C$118*O14,$C$119*O30,$C$120*O46,$C$121*O62,$C$122*O78,$C$123*O94,$C$124*O110)</f>
        <v>0.13762888054764572</v>
      </c>
      <c r="P136" s="13">
        <f t="shared" si="55"/>
        <v>0.28483521839422238</v>
      </c>
      <c r="Q136" s="13">
        <f t="shared" si="55"/>
        <v>0.3163428684172957</v>
      </c>
      <c r="R136" s="13">
        <f t="shared" si="55"/>
        <v>0.28667330632033233</v>
      </c>
      <c r="T136" s="13">
        <f t="shared" ref="T136:W136" si="56">SUM($C$118*T14,$C$119*T30,$C$120*T46,$C$121*T62,$C$122*T78,$C$123*T94,$C$124*T110)</f>
        <v>3.4473202824443897E-3</v>
      </c>
      <c r="U136" s="13">
        <f t="shared" si="56"/>
        <v>0.10094913875498417</v>
      </c>
      <c r="V136" s="13">
        <f t="shared" si="56"/>
        <v>0.10100798301373411</v>
      </c>
      <c r="W136" s="13">
        <f t="shared" si="56"/>
        <v>0.28667330632033233</v>
      </c>
      <c r="Y136" s="94">
        <f t="shared" si="18"/>
        <v>1.7512938689049629</v>
      </c>
    </row>
    <row r="137" spans="1:27" ht="15">
      <c r="A137" s="6" t="s">
        <v>32</v>
      </c>
      <c r="C137" s="10" t="s">
        <v>17</v>
      </c>
      <c r="D137" s="10">
        <f t="shared" si="14"/>
        <v>2036</v>
      </c>
      <c r="E137" s="13">
        <f t="shared" ref="E137:H137" si="57">SUM($C$118*E15,$C$119*E31,$C$120*E47,$C$121*E63,$C$122*E79,$C$123*E95,$C$124*E111)</f>
        <v>-0.99963472963548261</v>
      </c>
      <c r="F137" s="13">
        <f t="shared" si="57"/>
        <v>1.5292319723987573</v>
      </c>
      <c r="G137" s="13">
        <f t="shared" si="57"/>
        <v>0.52959724276327491</v>
      </c>
      <c r="H137" s="13">
        <f t="shared" si="57"/>
        <v>0.2312964551053131</v>
      </c>
      <c r="J137" s="12">
        <f t="shared" si="27"/>
        <v>-1.4959472653524042E-3</v>
      </c>
      <c r="K137" s="12">
        <f t="shared" si="28"/>
        <v>8.2341949610609699E-2</v>
      </c>
      <c r="L137" s="12">
        <f t="shared" si="29"/>
        <v>8.0846002345257295E-2</v>
      </c>
      <c r="M137" s="12">
        <f t="shared" si="30"/>
        <v>0.2312964551053131</v>
      </c>
      <c r="O137" s="13">
        <f t="shared" ref="O137:R137" si="58">SUM($C$118*O15,$C$119*O31,$C$120*O47,$C$121*O63,$C$122*O79,$C$123*O95,$C$124*O111)</f>
        <v>0.1376550181278528</v>
      </c>
      <c r="P137" s="13">
        <f t="shared" si="58"/>
        <v>0.28989953132478691</v>
      </c>
      <c r="Q137" s="13">
        <f t="shared" si="58"/>
        <v>0.32092155159495056</v>
      </c>
      <c r="R137" s="13">
        <f t="shared" si="58"/>
        <v>0.28970275261077283</v>
      </c>
      <c r="T137" s="13">
        <f t="shared" ref="T137:W137" si="59">SUM($C$118*T15,$C$119*T31,$C$120*T47,$C$121*T63,$C$122*T79,$C$123*T95,$C$124*T111)</f>
        <v>2.6823972452538246E-3</v>
      </c>
      <c r="U137" s="13">
        <f t="shared" si="59"/>
        <v>5.3950316260859256E-2</v>
      </c>
      <c r="V137" s="13">
        <f t="shared" si="59"/>
        <v>5.4016959185315863E-2</v>
      </c>
      <c r="W137" s="13">
        <f t="shared" si="59"/>
        <v>0.28970275261077283</v>
      </c>
      <c r="Y137" s="94">
        <f t="shared" si="18"/>
        <v>1.7611717313443562</v>
      </c>
    </row>
    <row r="138" spans="1:27" ht="15">
      <c r="A138" s="6" t="s">
        <v>32</v>
      </c>
      <c r="C138" s="10" t="s">
        <v>18</v>
      </c>
      <c r="D138" s="10">
        <f t="shared" si="14"/>
        <v>2037</v>
      </c>
      <c r="E138" s="13">
        <f t="shared" ref="E138:H138" si="60">SUM($C$118*E16,$C$119*E32,$C$120*E48,$C$121*E64,$C$122*E80,$C$123*E96,$C$124*E112)</f>
        <v>-1.0007195623893157</v>
      </c>
      <c r="F138" s="13">
        <f t="shared" si="60"/>
        <v>1.5929652114337316</v>
      </c>
      <c r="G138" s="13">
        <f t="shared" si="60"/>
        <v>0.59224564904441612</v>
      </c>
      <c r="H138" s="13">
        <f t="shared" si="60"/>
        <v>0.17915682523858348</v>
      </c>
      <c r="J138" s="12">
        <f t="shared" si="27"/>
        <v>-1.0848327538330871E-3</v>
      </c>
      <c r="K138" s="12">
        <f t="shared" si="28"/>
        <v>6.3733239034974298E-2</v>
      </c>
      <c r="L138" s="12">
        <f t="shared" si="29"/>
        <v>6.2648406281141211E-2</v>
      </c>
      <c r="M138" s="12">
        <f t="shared" si="30"/>
        <v>0.17915682523858348</v>
      </c>
      <c r="O138" s="13">
        <f t="shared" ref="O138:R138" si="61">SUM($C$118*O16,$C$119*O32,$C$120*O48,$C$121*O64,$C$122*O80,$C$123*O96,$C$124*O112)</f>
        <v>0.13767405684390091</v>
      </c>
      <c r="P138" s="13">
        <f t="shared" si="61"/>
        <v>0.29485904515335148</v>
      </c>
      <c r="Q138" s="13">
        <f t="shared" si="61"/>
        <v>0.32541665974040684</v>
      </c>
      <c r="R138" s="13">
        <f t="shared" si="61"/>
        <v>0.29196589583532034</v>
      </c>
      <c r="T138" s="13">
        <f t="shared" ref="T138:W138" si="62">SUM($C$118*T16,$C$119*T32,$C$120*T48,$C$121*T64,$C$122*T80,$C$123*T96,$C$124*T112)</f>
        <v>2.2895222379730237E-3</v>
      </c>
      <c r="U138" s="13">
        <f t="shared" si="62"/>
        <v>5.3852745950555281E-2</v>
      </c>
      <c r="V138" s="13">
        <f t="shared" si="62"/>
        <v>5.3901392917931362E-2</v>
      </c>
      <c r="W138" s="13">
        <f t="shared" si="62"/>
        <v>0.29196589583532034</v>
      </c>
      <c r="Y138" s="94">
        <f t="shared" si="18"/>
        <v>1.7708478011973712</v>
      </c>
    </row>
    <row r="139" spans="1:27" ht="15">
      <c r="A139" s="6" t="s">
        <v>32</v>
      </c>
      <c r="C139" s="10" t="s">
        <v>19</v>
      </c>
      <c r="D139" s="10">
        <f t="shared" si="14"/>
        <v>2038</v>
      </c>
      <c r="E139" s="13">
        <f t="shared" ref="E139:H139" si="63">SUM($C$118*E17,$C$119*E33,$C$120*E49,$C$121*E65,$C$122*E81,$C$123*E97,$C$124*E113)</f>
        <v>-1.0008107593016471</v>
      </c>
      <c r="F139" s="13">
        <f t="shared" si="63"/>
        <v>1.6260220192344224</v>
      </c>
      <c r="G139" s="13">
        <f t="shared" si="63"/>
        <v>0.6252112599327756</v>
      </c>
      <c r="H139" s="13">
        <f t="shared" si="63"/>
        <v>0.15463364036165575</v>
      </c>
      <c r="J139" s="12">
        <f t="shared" si="27"/>
        <v>-9.119691233139271E-5</v>
      </c>
      <c r="K139" s="12">
        <f t="shared" si="28"/>
        <v>3.3056807800690757E-2</v>
      </c>
      <c r="L139" s="12">
        <f t="shared" si="29"/>
        <v>3.2965610888359365E-2</v>
      </c>
      <c r="M139" s="12">
        <f t="shared" si="30"/>
        <v>0.15463364036165575</v>
      </c>
      <c r="O139" s="13">
        <f t="shared" ref="O139:R139" si="64">SUM($C$118*O17,$C$119*O33,$C$120*O49,$C$121*O65,$C$122*O81,$C$123*O97,$C$124*O113)</f>
        <v>0.1376747014494871</v>
      </c>
      <c r="P139" s="13">
        <f t="shared" si="64"/>
        <v>0.29738636713744898</v>
      </c>
      <c r="Q139" s="13">
        <f t="shared" si="64"/>
        <v>0.32770867363927808</v>
      </c>
      <c r="R139" s="13">
        <f t="shared" si="64"/>
        <v>0.29242258823419409</v>
      </c>
      <c r="T139" s="13">
        <f t="shared" ref="T139:W139" si="65">SUM($C$118*T17,$C$119*T33,$C$120*T49,$C$121*T65,$C$122*T81,$C$123*T97,$C$124*T113)</f>
        <v>4.2129722019483947E-4</v>
      </c>
      <c r="U139" s="13">
        <f t="shared" si="65"/>
        <v>3.8688433031894835E-2</v>
      </c>
      <c r="V139" s="13">
        <f t="shared" si="65"/>
        <v>3.8690726819370497E-2</v>
      </c>
      <c r="W139" s="13">
        <f t="shared" si="65"/>
        <v>0.29242258823419409</v>
      </c>
      <c r="Y139" s="94">
        <f t="shared" si="18"/>
        <v>1.7792131459883553</v>
      </c>
    </row>
    <row r="140" spans="1:27" ht="15">
      <c r="A140" s="6" t="s">
        <v>32</v>
      </c>
      <c r="C140" s="10" t="s">
        <v>20</v>
      </c>
      <c r="D140" s="10">
        <f t="shared" si="14"/>
        <v>2039</v>
      </c>
      <c r="E140" s="13">
        <f t="shared" ref="E140:H140" si="66">SUM($C$118*E18,$C$119*E34,$C$120*E50,$C$121*E66,$C$122*E82,$C$123*E98,$C$124*E114)</f>
        <v>-1.0012031511850734</v>
      </c>
      <c r="F140" s="13">
        <f t="shared" si="66"/>
        <v>1.6563195202772545</v>
      </c>
      <c r="G140" s="13">
        <f t="shared" si="66"/>
        <v>0.65511636909218152</v>
      </c>
      <c r="H140" s="13">
        <f t="shared" si="66"/>
        <v>0.14093299450011518</v>
      </c>
      <c r="J140" s="12">
        <f t="shared" si="27"/>
        <v>-3.9239188342632403E-4</v>
      </c>
      <c r="K140" s="12">
        <f t="shared" si="28"/>
        <v>3.0297501042832131E-2</v>
      </c>
      <c r="L140" s="12">
        <f t="shared" si="29"/>
        <v>2.9905109159405807E-2</v>
      </c>
      <c r="M140" s="12">
        <f t="shared" si="30"/>
        <v>0.14093299450011518</v>
      </c>
      <c r="O140" s="13">
        <f t="shared" ref="O140:R140" si="67">SUM($C$118*O18,$C$119*O34,$C$120*O50,$C$121*O66,$C$122*O82,$C$123*O98,$C$124*O114)</f>
        <v>0.13767792208460541</v>
      </c>
      <c r="P140" s="13">
        <f t="shared" si="67"/>
        <v>0.29965017147776307</v>
      </c>
      <c r="Q140" s="13">
        <f t="shared" si="67"/>
        <v>0.32976572820138139</v>
      </c>
      <c r="R140" s="13">
        <f t="shared" si="67"/>
        <v>0.29284388683761714</v>
      </c>
      <c r="T140" s="13">
        <f t="shared" ref="T140:W140" si="68">SUM($C$118*T18,$C$119*T34,$C$120*T50,$C$121*T66,$C$122*T82,$C$123*T98,$C$124*T114)</f>
        <v>9.4170607371451751E-4</v>
      </c>
      <c r="U140" s="13">
        <f t="shared" si="68"/>
        <v>3.67637580701866E-2</v>
      </c>
      <c r="V140" s="13">
        <f t="shared" si="68"/>
        <v>3.677581702386068E-2</v>
      </c>
      <c r="W140" s="13">
        <f t="shared" si="68"/>
        <v>0.29284388683761714</v>
      </c>
      <c r="Y140" s="94">
        <f>SUM(H140,F140)/-E140</f>
        <v>1.7950927468117264</v>
      </c>
      <c r="Z140" s="94">
        <f>SUM(M140,K126:K140)/-SUM(J126:J140)</f>
        <v>1.7950927468117264</v>
      </c>
      <c r="AA140" s="38" t="b">
        <f>Y140=Z140</f>
        <v>1</v>
      </c>
    </row>
    <row r="142" spans="1:27">
      <c r="E142" s="58"/>
      <c r="F142" s="58"/>
      <c r="G142" s="58"/>
      <c r="H142" s="58"/>
    </row>
    <row r="143" spans="1:27">
      <c r="E143" s="82"/>
    </row>
    <row r="144" spans="1:27">
      <c r="Y144">
        <f>1.8/1.62</f>
        <v>1.1111111111111112</v>
      </c>
    </row>
  </sheetData>
  <pageMargins left="0.7" right="0.7" top="0.75" bottom="0.75" header="0.3" footer="0.3"/>
  <pageSetup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D04E-6F29-414E-B53E-351E4D11E53F}">
  <sheetPr codeName="Sheet3"/>
  <dimension ref="A1:U21"/>
  <sheetViews>
    <sheetView workbookViewId="0">
      <selection activeCell="D4" sqref="D4"/>
    </sheetView>
  </sheetViews>
  <sheetFormatPr defaultRowHeight="15"/>
  <cols>
    <col min="1" max="20" width="9.140625" style="84"/>
    <col min="21" max="21" width="12.28515625" style="84" bestFit="1" customWidth="1"/>
    <col min="22" max="16384" width="9.140625" style="84"/>
  </cols>
  <sheetData>
    <row r="1" spans="1:19">
      <c r="C1" s="87" t="s">
        <v>26</v>
      </c>
      <c r="D1" s="87"/>
      <c r="E1" s="87"/>
      <c r="F1" s="87"/>
      <c r="G1" s="87"/>
      <c r="H1" s="87"/>
      <c r="I1" s="87"/>
      <c r="J1" s="87"/>
      <c r="L1" s="87" t="s">
        <v>25</v>
      </c>
      <c r="M1" s="87"/>
      <c r="N1" s="87"/>
      <c r="O1" s="87"/>
      <c r="P1" s="87"/>
      <c r="Q1" s="87"/>
      <c r="R1" s="87"/>
      <c r="S1" s="87"/>
    </row>
    <row r="2" spans="1:19">
      <c r="C2" s="143" t="s">
        <v>77</v>
      </c>
      <c r="D2" s="143"/>
      <c r="E2" s="143" t="s">
        <v>76</v>
      </c>
      <c r="F2" s="143"/>
      <c r="G2" s="143" t="s">
        <v>79</v>
      </c>
      <c r="H2" s="143"/>
      <c r="I2" s="143" t="s">
        <v>75</v>
      </c>
      <c r="J2" s="143"/>
      <c r="L2" s="143" t="s">
        <v>81</v>
      </c>
      <c r="M2" s="143"/>
      <c r="N2" s="143" t="s">
        <v>82</v>
      </c>
      <c r="O2" s="143"/>
      <c r="P2" s="143" t="s">
        <v>83</v>
      </c>
      <c r="Q2" s="143"/>
      <c r="R2" s="143" t="s">
        <v>84</v>
      </c>
      <c r="S2" s="143"/>
    </row>
    <row r="3" spans="1:19">
      <c r="A3" s="84" t="s">
        <v>74</v>
      </c>
      <c r="B3" s="84" t="s">
        <v>73</v>
      </c>
      <c r="C3" s="11" t="s">
        <v>72</v>
      </c>
      <c r="D3" s="11" t="s">
        <v>71</v>
      </c>
      <c r="E3" s="11" t="s">
        <v>72</v>
      </c>
      <c r="F3" s="11" t="s">
        <v>71</v>
      </c>
      <c r="G3" s="85" t="s">
        <v>72</v>
      </c>
      <c r="H3" s="85" t="s">
        <v>71</v>
      </c>
      <c r="I3" s="11" t="s">
        <v>72</v>
      </c>
      <c r="J3" s="11" t="s">
        <v>71</v>
      </c>
      <c r="L3" s="11" t="s">
        <v>72</v>
      </c>
      <c r="M3" s="11" t="s">
        <v>71</v>
      </c>
      <c r="N3" s="11" t="s">
        <v>72</v>
      </c>
      <c r="O3" s="11" t="s">
        <v>71</v>
      </c>
      <c r="P3" s="85" t="s">
        <v>72</v>
      </c>
      <c r="Q3" s="85" t="s">
        <v>71</v>
      </c>
      <c r="R3" s="11" t="s">
        <v>72</v>
      </c>
      <c r="S3" s="11" t="s">
        <v>71</v>
      </c>
    </row>
    <row r="4" spans="1:19">
      <c r="A4" s="84">
        <v>0</v>
      </c>
      <c r="B4" s="84">
        <v>0</v>
      </c>
      <c r="C4" s="28"/>
      <c r="D4" s="28">
        <v>2.4666472735915351E-2</v>
      </c>
      <c r="E4" s="28"/>
      <c r="F4" s="28">
        <v>0</v>
      </c>
      <c r="G4" s="28"/>
      <c r="H4" s="28">
        <v>2.4666472735915351E-2</v>
      </c>
      <c r="I4" s="28">
        <v>3.4640835826355763E-2</v>
      </c>
      <c r="J4" s="28">
        <v>2.4198960366952821E-2</v>
      </c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84">
        <v>1</v>
      </c>
      <c r="B5" s="84">
        <v>4</v>
      </c>
      <c r="C5" s="95">
        <v>-0.17233232359810929</v>
      </c>
      <c r="D5" s="28">
        <v>6.6877745330482949E-2</v>
      </c>
      <c r="E5" s="95">
        <v>0</v>
      </c>
      <c r="F5" s="28">
        <v>0</v>
      </c>
      <c r="G5" s="95">
        <v>-0.17233232359810929</v>
      </c>
      <c r="H5" s="28">
        <v>6.6877745330482949E-2</v>
      </c>
      <c r="I5" s="12">
        <f>R5</f>
        <v>0.15892278156653575</v>
      </c>
      <c r="J5" s="12">
        <f>S5</f>
        <v>6.9514520121753867E-2</v>
      </c>
      <c r="K5" s="12"/>
      <c r="L5" s="12">
        <f>SUM(C$4:C5)</f>
        <v>-0.17233232359810929</v>
      </c>
      <c r="M5" s="28">
        <v>7.1281608411430983E-2</v>
      </c>
      <c r="N5" s="12">
        <f>SUM(E$4:E5)</f>
        <v>0</v>
      </c>
      <c r="O5" s="28">
        <v>0</v>
      </c>
      <c r="P5" s="28">
        <v>-0.17233232359810929</v>
      </c>
      <c r="Q5" s="28">
        <v>7.1281608411430983E-2</v>
      </c>
      <c r="R5" s="28">
        <v>0.15892278156653575</v>
      </c>
      <c r="S5" s="28">
        <v>6.9514520121753867E-2</v>
      </c>
    </row>
    <row r="6" spans="1:19">
      <c r="A6" s="84">
        <v>2</v>
      </c>
      <c r="B6" s="84">
        <v>8</v>
      </c>
      <c r="C6" s="28">
        <v>-0.19859642458324575</v>
      </c>
      <c r="D6" s="28">
        <v>5.2478489043812714E-2</v>
      </c>
      <c r="E6" s="28">
        <v>7.6937362002720033E-4</v>
      </c>
      <c r="F6" s="28">
        <v>2.1904756194433359E-3</v>
      </c>
      <c r="G6" s="28">
        <v>-0.19782705096321854</v>
      </c>
      <c r="H6" s="28">
        <v>5.2524184865268941E-2</v>
      </c>
      <c r="I6" s="12">
        <f t="shared" ref="I6:I19" si="0">R6</f>
        <v>0.35326424136759538</v>
      </c>
      <c r="J6" s="12">
        <f t="shared" ref="J6:J19" si="1">S6</f>
        <v>8.7742983674334252E-2</v>
      </c>
      <c r="K6" s="12"/>
      <c r="L6" s="12">
        <f>SUM(C$4:C6)</f>
        <v>-0.37092874818135502</v>
      </c>
      <c r="M6" s="28">
        <v>8.8515871514899286E-2</v>
      </c>
      <c r="N6" s="12">
        <f>SUM(E$4:E6)</f>
        <v>7.6937362002720033E-4</v>
      </c>
      <c r="O6" s="28">
        <v>2.1904756194433359E-3</v>
      </c>
      <c r="P6" s="28">
        <v>-0.37015937456132786</v>
      </c>
      <c r="Q6" s="28">
        <v>8.854297088691758E-2</v>
      </c>
      <c r="R6" s="28">
        <v>0.35326424136759538</v>
      </c>
      <c r="S6" s="28">
        <v>8.7742983674334252E-2</v>
      </c>
    </row>
    <row r="7" spans="1:19">
      <c r="A7" s="84">
        <v>3</v>
      </c>
      <c r="B7" s="84">
        <v>12</v>
      </c>
      <c r="C7" s="28">
        <v>-0.21265092271549232</v>
      </c>
      <c r="D7" s="28">
        <v>6.1465085775226844E-2</v>
      </c>
      <c r="E7" s="28">
        <v>2.1091837679289488E-2</v>
      </c>
      <c r="F7" s="28">
        <v>1.9180730428579242E-2</v>
      </c>
      <c r="G7" s="28">
        <v>-0.19155908503620284</v>
      </c>
      <c r="H7" s="28">
        <v>6.438833115658317E-2</v>
      </c>
      <c r="I7" s="12">
        <f t="shared" si="0"/>
        <v>0.57458795753669567</v>
      </c>
      <c r="J7" s="12">
        <f t="shared" si="1"/>
        <v>0.11673266770662002</v>
      </c>
      <c r="K7" s="12"/>
      <c r="L7" s="12">
        <f>SUM(C$4:C7)</f>
        <v>-0.58357967089684737</v>
      </c>
      <c r="M7" s="28">
        <v>0.1077637057612541</v>
      </c>
      <c r="N7" s="12">
        <f>SUM(E$4:E7)</f>
        <v>2.1861211299316688E-2</v>
      </c>
      <c r="O7" s="28">
        <v>1.9305403471909136E-2</v>
      </c>
      <c r="P7" s="28">
        <v>-0.56171845959753064</v>
      </c>
      <c r="Q7" s="28">
        <v>0.10947928974290687</v>
      </c>
      <c r="R7" s="28">
        <v>0.57458795753669567</v>
      </c>
      <c r="S7" s="28">
        <v>0.11673266770662002</v>
      </c>
    </row>
    <row r="8" spans="1:19">
      <c r="A8" s="84">
        <v>4</v>
      </c>
      <c r="B8" s="84">
        <v>16</v>
      </c>
      <c r="C8" s="28">
        <v>-0.18547417855194764</v>
      </c>
      <c r="D8" s="28">
        <v>5.1085546777102989E-2</v>
      </c>
      <c r="E8" s="28">
        <v>8.5528218317921262E-2</v>
      </c>
      <c r="F8" s="28">
        <v>4.9382061325397582E-2</v>
      </c>
      <c r="G8" s="28">
        <v>-9.9945960234026382E-2</v>
      </c>
      <c r="H8" s="28">
        <v>7.1051538127340386E-2</v>
      </c>
      <c r="I8" s="12">
        <f t="shared" si="0"/>
        <v>0.75100412679851947</v>
      </c>
      <c r="J8" s="12">
        <f t="shared" si="1"/>
        <v>0.1439329916398189</v>
      </c>
      <c r="K8" s="12"/>
      <c r="L8" s="12">
        <f>SUM(C$4:C8)</f>
        <v>-0.76905384944879507</v>
      </c>
      <c r="M8" s="28">
        <v>0.11925916890920266</v>
      </c>
      <c r="N8" s="12">
        <f>SUM(E$4:E8)</f>
        <v>0.10738942961723795</v>
      </c>
      <c r="O8" s="28">
        <v>5.3021567158643368E-2</v>
      </c>
      <c r="P8" s="28">
        <v>-0.66166441983155699</v>
      </c>
      <c r="Q8" s="28">
        <v>0.1305145047604758</v>
      </c>
      <c r="R8" s="28">
        <v>0.75100412679851947</v>
      </c>
      <c r="S8" s="28">
        <v>0.1439329916398189</v>
      </c>
    </row>
    <row r="9" spans="1:19">
      <c r="A9" s="84">
        <v>5</v>
      </c>
      <c r="B9" s="84">
        <v>20</v>
      </c>
      <c r="C9" s="28">
        <v>-0.11564552114764957</v>
      </c>
      <c r="D9" s="28">
        <v>5.3402740135627264E-2</v>
      </c>
      <c r="E9" s="28">
        <v>0.16748434191937911</v>
      </c>
      <c r="F9" s="28">
        <v>8.9380913581880689E-2</v>
      </c>
      <c r="G9" s="28">
        <v>5.1838820771729535E-2</v>
      </c>
      <c r="H9" s="28">
        <v>0.10411916426251681</v>
      </c>
      <c r="I9" s="12">
        <f t="shared" si="0"/>
        <v>0.84207638543895191</v>
      </c>
      <c r="J9" s="12">
        <f t="shared" si="1"/>
        <v>0.18199231374330344</v>
      </c>
      <c r="K9" s="12"/>
      <c r="L9" s="12">
        <f>SUM(C$4:C9)</f>
        <v>-0.88469937059644466</v>
      </c>
      <c r="M9" s="28">
        <v>0.13066982062782156</v>
      </c>
      <c r="N9" s="12">
        <f>SUM(E$4:E9)</f>
        <v>0.27487377153661707</v>
      </c>
      <c r="O9" s="28">
        <v>0.10392417570849505</v>
      </c>
      <c r="P9" s="28">
        <v>-0.60982559905982747</v>
      </c>
      <c r="Q9" s="28">
        <v>0.16695758838578503</v>
      </c>
      <c r="R9" s="28">
        <v>0.84207638543895191</v>
      </c>
      <c r="S9" s="28">
        <v>0.18199231374330344</v>
      </c>
    </row>
    <row r="10" spans="1:19">
      <c r="A10" s="84">
        <v>6</v>
      </c>
      <c r="B10" s="84">
        <v>24</v>
      </c>
      <c r="C10" s="28">
        <v>-5.866377795563011E-2</v>
      </c>
      <c r="D10" s="28">
        <v>3.5189221822709629E-2</v>
      </c>
      <c r="E10" s="28">
        <v>0.18338950076348548</v>
      </c>
      <c r="F10" s="28">
        <v>9.1016331358862834E-2</v>
      </c>
      <c r="G10" s="28">
        <v>0.12472572280785538</v>
      </c>
      <c r="H10" s="28">
        <v>9.7582036802447314E-2</v>
      </c>
      <c r="I10" s="12">
        <f t="shared" si="0"/>
        <v>0.80576574034578041</v>
      </c>
      <c r="J10" s="12">
        <f t="shared" si="1"/>
        <v>0.20880906401934268</v>
      </c>
      <c r="K10" s="12"/>
      <c r="L10" s="12">
        <f>SUM(C$4:C10)</f>
        <v>-0.94336314855207482</v>
      </c>
      <c r="M10" s="28">
        <v>0.13532510245846824</v>
      </c>
      <c r="N10" s="12">
        <f>SUM(E$4:E10)</f>
        <v>0.45826327230010255</v>
      </c>
      <c r="O10" s="28">
        <v>0.13814560025826544</v>
      </c>
      <c r="P10" s="28">
        <v>-0.4850998762519721</v>
      </c>
      <c r="Q10" s="28">
        <v>0.1933832728705133</v>
      </c>
      <c r="R10" s="28">
        <v>0.80576574034578041</v>
      </c>
      <c r="S10" s="28">
        <v>0.20880906401934268</v>
      </c>
    </row>
    <row r="11" spans="1:19">
      <c r="A11" s="84">
        <v>7</v>
      </c>
      <c r="B11" s="84">
        <v>28</v>
      </c>
      <c r="C11" s="28">
        <v>-2.6497280908420264E-2</v>
      </c>
      <c r="D11" s="28">
        <v>1.9303637483823896E-2</v>
      </c>
      <c r="E11" s="28">
        <v>0.24885836481822046</v>
      </c>
      <c r="F11" s="28">
        <v>0.14064438166930163</v>
      </c>
      <c r="G11" s="28">
        <v>0.22236108390980019</v>
      </c>
      <c r="H11" s="28">
        <v>0.14196292655213572</v>
      </c>
      <c r="I11" s="12">
        <f t="shared" si="0"/>
        <v>0.73381849247098685</v>
      </c>
      <c r="J11" s="12">
        <f t="shared" si="1"/>
        <v>0.23325753183827205</v>
      </c>
      <c r="K11" s="12"/>
      <c r="L11" s="12">
        <f>SUM(C$4:C11)</f>
        <v>-0.96986042946049511</v>
      </c>
      <c r="M11" s="28">
        <v>0.13669496616738241</v>
      </c>
      <c r="N11" s="12">
        <f>SUM(E$4:E11)</f>
        <v>0.70712163711832299</v>
      </c>
      <c r="O11" s="28">
        <v>0.19714220493302964</v>
      </c>
      <c r="P11" s="28">
        <v>-0.2627387923421719</v>
      </c>
      <c r="Q11" s="28">
        <v>0.23989698360204215</v>
      </c>
      <c r="R11" s="28">
        <v>0.73381849247098685</v>
      </c>
      <c r="S11" s="28">
        <v>0.23325753183827205</v>
      </c>
    </row>
    <row r="12" spans="1:19">
      <c r="A12" s="84">
        <v>8</v>
      </c>
      <c r="B12" s="84">
        <v>32</v>
      </c>
      <c r="C12" s="28">
        <v>-1.5587718608942085E-2</v>
      </c>
      <c r="D12" s="28">
        <v>1.364241385515196E-2</v>
      </c>
      <c r="E12" s="28">
        <v>0.24222626230600749</v>
      </c>
      <c r="F12" s="28">
        <v>0.12157308915416112</v>
      </c>
      <c r="G12" s="28">
        <v>0.2266385436970654</v>
      </c>
      <c r="H12" s="28">
        <v>0.12233614127591588</v>
      </c>
      <c r="I12" s="12">
        <f t="shared" si="0"/>
        <v>0.62205366612592261</v>
      </c>
      <c r="J12" s="12">
        <f t="shared" si="1"/>
        <v>0.25240623603936407</v>
      </c>
      <c r="K12" s="12"/>
      <c r="L12" s="12">
        <f>SUM(C$4:C12)</f>
        <v>-0.98544814806943715</v>
      </c>
      <c r="M12" s="28">
        <v>0.13737404860925176</v>
      </c>
      <c r="N12" s="12">
        <f>SUM(E$4:E12)</f>
        <v>0.94934789942433051</v>
      </c>
      <c r="O12" s="28">
        <v>0.23161404312420752</v>
      </c>
      <c r="P12" s="28">
        <v>-3.6100248645106497E-2</v>
      </c>
      <c r="Q12" s="28">
        <v>0.26928923893026124</v>
      </c>
      <c r="R12" s="28">
        <v>0.62205366612592261</v>
      </c>
      <c r="S12" s="28">
        <v>0.25240623603936407</v>
      </c>
    </row>
    <row r="13" spans="1:19">
      <c r="A13" s="84">
        <v>9</v>
      </c>
      <c r="B13" s="84">
        <v>36</v>
      </c>
      <c r="C13" s="28">
        <v>-5.8831056255522389E-3</v>
      </c>
      <c r="D13" s="28">
        <v>5.8337021969756169E-3</v>
      </c>
      <c r="E13" s="28">
        <v>0.19838614335533034</v>
      </c>
      <c r="F13" s="28">
        <v>9.4188445445939392E-2</v>
      </c>
      <c r="G13" s="28">
        <v>0.19250303772977809</v>
      </c>
      <c r="H13" s="28">
        <v>9.4368932053116403E-2</v>
      </c>
      <c r="I13" s="12">
        <f t="shared" si="0"/>
        <v>0.4928914870047667</v>
      </c>
      <c r="J13" s="12">
        <f t="shared" si="1"/>
        <v>0.26996866113057627</v>
      </c>
      <c r="K13" s="12"/>
      <c r="L13" s="12">
        <f>SUM(C$4:C13)</f>
        <v>-0.99133125369498942</v>
      </c>
      <c r="M13" s="28">
        <v>0.13749785930195446</v>
      </c>
      <c r="N13" s="12">
        <f>SUM(E$4:E13)</f>
        <v>1.147734042779661</v>
      </c>
      <c r="O13" s="28">
        <v>0.25003305427056033</v>
      </c>
      <c r="P13" s="28">
        <v>0.15640278908467159</v>
      </c>
      <c r="Q13" s="28">
        <v>0.28534573685353182</v>
      </c>
      <c r="R13" s="28">
        <v>0.4928914870047667</v>
      </c>
      <c r="S13" s="28">
        <v>0.26996866113057627</v>
      </c>
    </row>
    <row r="14" spans="1:19">
      <c r="A14" s="84">
        <v>10</v>
      </c>
      <c r="B14" s="84">
        <v>40</v>
      </c>
      <c r="C14" s="28">
        <v>-4.0898154110358027E-3</v>
      </c>
      <c r="D14" s="28">
        <v>4.9156312970267645E-3</v>
      </c>
      <c r="E14" s="28">
        <v>0.14702267446995934</v>
      </c>
      <c r="F14" s="28">
        <v>9.1781505732071847E-2</v>
      </c>
      <c r="G14" s="28">
        <v>0.14293285905892353</v>
      </c>
      <c r="H14" s="28">
        <v>9.1913047090685915E-2</v>
      </c>
      <c r="I14" s="12">
        <f t="shared" si="0"/>
        <v>0.40109495981181564</v>
      </c>
      <c r="J14" s="12">
        <f t="shared" si="1"/>
        <v>0.27855749823867504</v>
      </c>
      <c r="K14" s="12"/>
      <c r="L14" s="12">
        <f>SUM(C$4:C14)</f>
        <v>-0.99542106910602524</v>
      </c>
      <c r="M14" s="28">
        <v>0.13758569963360429</v>
      </c>
      <c r="N14" s="12">
        <f>SUM(E$4:E14)</f>
        <v>1.2947567172496204</v>
      </c>
      <c r="O14" s="28">
        <v>0.26634634035839749</v>
      </c>
      <c r="P14" s="28">
        <v>0.29933564814359515</v>
      </c>
      <c r="Q14" s="28">
        <v>0.29978358488412882</v>
      </c>
      <c r="R14" s="28">
        <v>0.40109495981181564</v>
      </c>
      <c r="S14" s="28">
        <v>0.27855749823867504</v>
      </c>
    </row>
    <row r="15" spans="1:19">
      <c r="A15" s="84">
        <v>11</v>
      </c>
      <c r="B15" s="84">
        <v>44</v>
      </c>
      <c r="C15" s="28">
        <v>-2.7177132641049324E-3</v>
      </c>
      <c r="D15" s="28">
        <v>3.4473202824443897E-3</v>
      </c>
      <c r="E15" s="28">
        <v>0.15213330553852733</v>
      </c>
      <c r="F15" s="28">
        <v>0.10094913875498417</v>
      </c>
      <c r="G15" s="28">
        <v>0.14941559227442239</v>
      </c>
      <c r="H15" s="28">
        <v>0.10100798301373411</v>
      </c>
      <c r="I15" s="12">
        <f t="shared" si="0"/>
        <v>0.30114430709292661</v>
      </c>
      <c r="J15" s="12">
        <f t="shared" si="1"/>
        <v>0.28667330632033233</v>
      </c>
      <c r="K15" s="12"/>
      <c r="L15" s="12">
        <f>SUM(C$4:C15)</f>
        <v>-0.99813878237013021</v>
      </c>
      <c r="M15" s="28">
        <v>0.13762888054764572</v>
      </c>
      <c r="N15" s="12">
        <f>SUM(E$4:E15)</f>
        <v>1.4468900227881476</v>
      </c>
      <c r="O15" s="28">
        <v>0.28483521839422238</v>
      </c>
      <c r="P15" s="28">
        <v>0.44875124041801751</v>
      </c>
      <c r="Q15" s="28">
        <v>0.3163428684172957</v>
      </c>
      <c r="R15" s="28">
        <v>0.30114430709292661</v>
      </c>
      <c r="S15" s="28">
        <v>0.28667330632033233</v>
      </c>
    </row>
    <row r="16" spans="1:19">
      <c r="A16" s="84">
        <v>12</v>
      </c>
      <c r="B16" s="84">
        <v>48</v>
      </c>
      <c r="C16" s="28">
        <v>-1.4959472653523595E-3</v>
      </c>
      <c r="D16" s="28">
        <v>2.6823972452538246E-3</v>
      </c>
      <c r="E16" s="28">
        <v>8.2341949610609727E-2</v>
      </c>
      <c r="F16" s="28">
        <v>5.3950316260859256E-2</v>
      </c>
      <c r="G16" s="28">
        <v>8.0846002345257365E-2</v>
      </c>
      <c r="H16" s="28">
        <v>5.4016959185315863E-2</v>
      </c>
      <c r="I16" s="12">
        <f t="shared" si="0"/>
        <v>0.2312964551053131</v>
      </c>
      <c r="J16" s="12">
        <f t="shared" si="1"/>
        <v>0.28970275261077283</v>
      </c>
      <c r="K16" s="12"/>
      <c r="L16" s="12">
        <f>SUM(C$4:C16)</f>
        <v>-0.99963472963548261</v>
      </c>
      <c r="M16" s="28">
        <v>0.1376550181278528</v>
      </c>
      <c r="N16" s="12">
        <f>SUM(E$4:E16)</f>
        <v>1.5292319723987573</v>
      </c>
      <c r="O16" s="28">
        <v>0.28989953132478691</v>
      </c>
      <c r="P16" s="28">
        <v>0.52959724276327491</v>
      </c>
      <c r="Q16" s="28">
        <v>0.32092155159495056</v>
      </c>
      <c r="R16" s="28">
        <v>0.2312964551053131</v>
      </c>
      <c r="S16" s="28">
        <v>0.28970275261077283</v>
      </c>
    </row>
    <row r="17" spans="1:21">
      <c r="A17" s="84">
        <v>13</v>
      </c>
      <c r="B17" s="84">
        <v>52</v>
      </c>
      <c r="C17" s="28">
        <v>-1.0848327538331511E-3</v>
      </c>
      <c r="D17" s="28">
        <v>2.2895222379730237E-3</v>
      </c>
      <c r="E17" s="28">
        <v>6.373323903497434E-2</v>
      </c>
      <c r="F17" s="28">
        <v>5.3852745950555281E-2</v>
      </c>
      <c r="G17" s="28">
        <v>6.2648406281141183E-2</v>
      </c>
      <c r="H17" s="28">
        <v>5.3901392917931362E-2</v>
      </c>
      <c r="I17" s="12">
        <f t="shared" si="0"/>
        <v>0.17915682523858348</v>
      </c>
      <c r="J17" s="12">
        <f t="shared" si="1"/>
        <v>0.29196589583532034</v>
      </c>
      <c r="K17" s="12"/>
      <c r="L17" s="12">
        <f>SUM(C$4:C17)</f>
        <v>-1.0007195623893157</v>
      </c>
      <c r="M17" s="28">
        <v>0.13767405684390091</v>
      </c>
      <c r="N17" s="12">
        <f>SUM(E$4:E17)</f>
        <v>1.5929652114337316</v>
      </c>
      <c r="O17" s="28">
        <v>0.29485904515335148</v>
      </c>
      <c r="P17" s="28">
        <v>0.59224564904441612</v>
      </c>
      <c r="Q17" s="28">
        <v>0.32541665974040684</v>
      </c>
      <c r="R17" s="28">
        <v>0.17915682523858348</v>
      </c>
      <c r="S17" s="28">
        <v>0.29196589583532034</v>
      </c>
    </row>
    <row r="18" spans="1:21">
      <c r="A18" s="84">
        <v>14</v>
      </c>
      <c r="B18" s="84">
        <v>56</v>
      </c>
      <c r="C18" s="28">
        <v>-9.119691233139271E-5</v>
      </c>
      <c r="D18" s="28">
        <v>4.2129722019483947E-4</v>
      </c>
      <c r="E18" s="28">
        <v>3.3056807800690854E-2</v>
      </c>
      <c r="F18" s="28">
        <v>3.8688433031894835E-2</v>
      </c>
      <c r="G18" s="28">
        <v>3.2965610888359462E-2</v>
      </c>
      <c r="H18" s="28">
        <v>3.8690726819370497E-2</v>
      </c>
      <c r="I18" s="12">
        <f t="shared" si="0"/>
        <v>0.15463364036165575</v>
      </c>
      <c r="J18" s="12">
        <f t="shared" si="1"/>
        <v>0.29242258823419409</v>
      </c>
      <c r="K18" s="12"/>
      <c r="L18" s="12">
        <f>SUM(C$4:C18)</f>
        <v>-1.0008107593016471</v>
      </c>
      <c r="M18" s="28">
        <v>0.1376747014494871</v>
      </c>
      <c r="N18" s="12">
        <f>SUM(E$4:E18)</f>
        <v>1.6260220192344224</v>
      </c>
      <c r="O18" s="28">
        <v>0.29738636713744898</v>
      </c>
      <c r="P18" s="28">
        <v>0.6252112599327756</v>
      </c>
      <c r="Q18" s="28">
        <v>0.32770867363927808</v>
      </c>
      <c r="R18" s="28">
        <v>0.15463364036165575</v>
      </c>
      <c r="S18" s="28">
        <v>0.29242258823419409</v>
      </c>
      <c r="U18" s="88" t="s">
        <v>78</v>
      </c>
    </row>
    <row r="19" spans="1:21">
      <c r="A19" s="84">
        <v>15</v>
      </c>
      <c r="B19" s="84">
        <v>60</v>
      </c>
      <c r="C19" s="28">
        <v>-3.9239188342627329E-4</v>
      </c>
      <c r="D19" s="28">
        <v>9.4170607371451751E-4</v>
      </c>
      <c r="E19" s="28">
        <v>3.0297501042832176E-2</v>
      </c>
      <c r="F19" s="28">
        <v>3.67637580701866E-2</v>
      </c>
      <c r="G19" s="28">
        <v>2.9905109159405904E-2</v>
      </c>
      <c r="H19" s="28">
        <v>3.677581702386068E-2</v>
      </c>
      <c r="I19" s="12">
        <f t="shared" si="0"/>
        <v>0.14093299450011518</v>
      </c>
      <c r="J19" s="12">
        <f t="shared" si="1"/>
        <v>0.29284388683761714</v>
      </c>
      <c r="K19" s="12"/>
      <c r="L19" s="12">
        <f>SUM(C$4:C19)</f>
        <v>-1.0012031511850734</v>
      </c>
      <c r="M19" s="28">
        <v>0.13767792208460541</v>
      </c>
      <c r="N19" s="12">
        <f>SUM(E$4:E19)</f>
        <v>1.6563195202772545</v>
      </c>
      <c r="O19" s="28">
        <v>0.29965017147776307</v>
      </c>
      <c r="P19" s="28">
        <v>0.65511636909218152</v>
      </c>
      <c r="Q19" s="28">
        <v>0.32976572820138139</v>
      </c>
      <c r="R19" s="28">
        <v>0.14093299450011518</v>
      </c>
      <c r="S19" s="28">
        <v>0.29284388683761714</v>
      </c>
      <c r="U19" s="89">
        <f>(N19+R19)/L19</f>
        <v>-1.7950927468117264</v>
      </c>
    </row>
    <row r="21" spans="1:21">
      <c r="C21" s="28"/>
    </row>
  </sheetData>
  <mergeCells count="8">
    <mergeCell ref="R2:S2"/>
    <mergeCell ref="G2:H2"/>
    <mergeCell ref="P2:Q2"/>
    <mergeCell ref="C2:D2"/>
    <mergeCell ref="E2:F2"/>
    <mergeCell ref="I2:J2"/>
    <mergeCell ref="L2:M2"/>
    <mergeCell ref="N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8529-1EC1-4718-BC25-93F4ADDA425D}">
  <sheetPr codeName="Sheet4"/>
  <dimension ref="A1:U19"/>
  <sheetViews>
    <sheetView workbookViewId="0">
      <selection activeCell="D4" sqref="D4"/>
    </sheetView>
  </sheetViews>
  <sheetFormatPr defaultRowHeight="15"/>
  <cols>
    <col min="1" max="20" width="9.140625" style="84"/>
    <col min="21" max="21" width="12.28515625" style="84" bestFit="1" customWidth="1"/>
    <col min="22" max="16384" width="9.140625" style="84"/>
  </cols>
  <sheetData>
    <row r="1" spans="1:19">
      <c r="C1" s="87" t="s">
        <v>26</v>
      </c>
      <c r="D1" s="87"/>
      <c r="E1" s="87"/>
      <c r="F1" s="87"/>
      <c r="G1" s="87"/>
      <c r="H1" s="87"/>
      <c r="I1" s="87"/>
      <c r="J1" s="87"/>
      <c r="L1" s="87" t="s">
        <v>25</v>
      </c>
      <c r="M1" s="87"/>
      <c r="N1" s="87"/>
      <c r="O1" s="87"/>
      <c r="P1" s="87"/>
      <c r="Q1" s="87"/>
      <c r="R1" s="87"/>
      <c r="S1" s="87"/>
    </row>
    <row r="2" spans="1:19">
      <c r="C2" s="143" t="s">
        <v>77</v>
      </c>
      <c r="D2" s="143"/>
      <c r="E2" s="143" t="s">
        <v>76</v>
      </c>
      <c r="F2" s="143"/>
      <c r="G2" s="143" t="s">
        <v>80</v>
      </c>
      <c r="H2" s="143"/>
      <c r="I2" s="143" t="s">
        <v>75</v>
      </c>
      <c r="J2" s="143"/>
      <c r="L2" s="143" t="s">
        <v>81</v>
      </c>
      <c r="M2" s="143"/>
      <c r="N2" s="143" t="s">
        <v>82</v>
      </c>
      <c r="O2" s="143"/>
      <c r="P2" s="143" t="s">
        <v>83</v>
      </c>
      <c r="Q2" s="143"/>
      <c r="R2" s="143" t="s">
        <v>84</v>
      </c>
      <c r="S2" s="143"/>
    </row>
    <row r="3" spans="1:19">
      <c r="A3" s="84" t="s">
        <v>74</v>
      </c>
      <c r="B3" s="84" t="s">
        <v>73</v>
      </c>
      <c r="C3" s="11" t="s">
        <v>72</v>
      </c>
      <c r="D3" s="11" t="s">
        <v>71</v>
      </c>
      <c r="E3" s="11" t="s">
        <v>72</v>
      </c>
      <c r="F3" s="11" t="s">
        <v>71</v>
      </c>
      <c r="G3" s="85" t="s">
        <v>72</v>
      </c>
      <c r="H3" s="85" t="s">
        <v>71</v>
      </c>
      <c r="I3" s="11" t="s">
        <v>72</v>
      </c>
      <c r="J3" s="11" t="s">
        <v>71</v>
      </c>
      <c r="L3" s="11" t="s">
        <v>72</v>
      </c>
      <c r="M3" s="11" t="s">
        <v>71</v>
      </c>
      <c r="N3" s="11" t="s">
        <v>72</v>
      </c>
      <c r="O3" s="11" t="s">
        <v>71</v>
      </c>
      <c r="P3" s="85" t="s">
        <v>72</v>
      </c>
      <c r="Q3" s="85" t="s">
        <v>71</v>
      </c>
      <c r="R3" s="11" t="s">
        <v>72</v>
      </c>
      <c r="S3" s="11" t="s">
        <v>71</v>
      </c>
    </row>
    <row r="4" spans="1:19">
      <c r="A4" s="84">
        <v>0</v>
      </c>
      <c r="B4" s="84">
        <v>0</v>
      </c>
      <c r="C4" s="28"/>
      <c r="D4" s="28">
        <v>2.713554736851068E-2</v>
      </c>
      <c r="E4" s="28"/>
      <c r="F4" s="28">
        <v>0</v>
      </c>
      <c r="G4" s="28"/>
      <c r="H4" s="28">
        <v>2.713554736851068E-2</v>
      </c>
      <c r="I4" s="28">
        <v>5.4930556222188502E-2</v>
      </c>
      <c r="J4" s="28">
        <v>2.4907925427256311E-2</v>
      </c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84">
        <v>1</v>
      </c>
      <c r="B5" s="84">
        <v>4</v>
      </c>
      <c r="C5" s="95">
        <v>-0.2353497969113901</v>
      </c>
      <c r="D5" s="28">
        <v>8.5498310197364896E-2</v>
      </c>
      <c r="E5" s="95">
        <v>0</v>
      </c>
      <c r="F5" s="28">
        <v>0</v>
      </c>
      <c r="G5" s="95">
        <v>-0.2353497969113901</v>
      </c>
      <c r="H5" s="28">
        <v>8.5498310197364896E-2</v>
      </c>
      <c r="I5" s="12">
        <f>R5</f>
        <v>0.21842406647657397</v>
      </c>
      <c r="J5" s="12">
        <f>S5</f>
        <v>8.8806226366925409E-2</v>
      </c>
      <c r="K5" s="12"/>
      <c r="L5" s="12">
        <f>SUM(C$4:C5)</f>
        <v>-0.2353497969113901</v>
      </c>
      <c r="M5" s="28">
        <v>8.9701164861965513E-2</v>
      </c>
      <c r="N5" s="12">
        <f>SUM(E$4:E5)</f>
        <v>0</v>
      </c>
      <c r="O5" s="28">
        <v>0</v>
      </c>
      <c r="P5" s="28">
        <v>-0.2353497969113901</v>
      </c>
      <c r="Q5" s="28">
        <v>8.9701164861965513E-2</v>
      </c>
      <c r="R5" s="28">
        <v>0.21842406647657397</v>
      </c>
      <c r="S5" s="28">
        <v>8.8806226366925409E-2</v>
      </c>
    </row>
    <row r="6" spans="1:19">
      <c r="A6" s="84">
        <v>2</v>
      </c>
      <c r="B6" s="84">
        <v>8</v>
      </c>
      <c r="C6" s="28">
        <v>-0.23508274243661231</v>
      </c>
      <c r="D6" s="28">
        <v>6.5032715466559171E-2</v>
      </c>
      <c r="E6" s="28">
        <v>2.4311021803399851E-4</v>
      </c>
      <c r="F6" s="28">
        <v>1.190991970880123E-3</v>
      </c>
      <c r="G6" s="28">
        <v>-0.23483963221857831</v>
      </c>
      <c r="H6" s="28">
        <v>6.5043620308444905E-2</v>
      </c>
      <c r="I6" s="12">
        <f t="shared" ref="I6:I19" si="0">R6</f>
        <v>0.45579694753502209</v>
      </c>
      <c r="J6" s="12">
        <f t="shared" ref="J6:J19" si="1">S6</f>
        <v>0.11935406621384133</v>
      </c>
      <c r="K6" s="12"/>
      <c r="L6" s="12">
        <f>SUM(C$4:C6)</f>
        <v>-0.47043253934800244</v>
      </c>
      <c r="M6" s="28">
        <v>0.11079509492097546</v>
      </c>
      <c r="N6" s="12">
        <f>SUM(E$4:E6)</f>
        <v>2.4311021803399851E-4</v>
      </c>
      <c r="O6" s="28">
        <v>1.190991970880123E-3</v>
      </c>
      <c r="P6" s="28">
        <v>-0.47018942912996842</v>
      </c>
      <c r="Q6" s="28">
        <v>0.11080149602068856</v>
      </c>
      <c r="R6" s="28">
        <v>0.45579694753502209</v>
      </c>
      <c r="S6" s="28">
        <v>0.11935406621384133</v>
      </c>
    </row>
    <row r="7" spans="1:19">
      <c r="A7" s="84">
        <v>3</v>
      </c>
      <c r="B7" s="84">
        <v>12</v>
      </c>
      <c r="C7" s="28">
        <v>-0.22014596730308073</v>
      </c>
      <c r="D7" s="28">
        <v>8.4640967185258958E-2</v>
      </c>
      <c r="E7" s="28">
        <v>1.1660532301980654E-2</v>
      </c>
      <c r="F7" s="28">
        <v>1.5433833355850276E-2</v>
      </c>
      <c r="G7" s="28">
        <v>-0.20848543500110006</v>
      </c>
      <c r="H7" s="28">
        <v>8.6036599991586374E-2</v>
      </c>
      <c r="I7" s="12">
        <f t="shared" si="0"/>
        <v>0.69115781699755185</v>
      </c>
      <c r="J7" s="12">
        <f t="shared" si="1"/>
        <v>0.17394610920239312</v>
      </c>
      <c r="K7" s="12"/>
      <c r="L7" s="12">
        <f>SUM(C$4:C7)</f>
        <v>-0.69057850665108322</v>
      </c>
      <c r="M7" s="28">
        <v>0.13942613235905257</v>
      </c>
      <c r="N7" s="12">
        <f>SUM(E$4:E7)</f>
        <v>1.1903642520014652E-2</v>
      </c>
      <c r="O7" s="28">
        <v>1.547971814765558E-2</v>
      </c>
      <c r="P7" s="28">
        <v>-0.67867486413106848</v>
      </c>
      <c r="Q7" s="28">
        <v>0.14028281455165811</v>
      </c>
      <c r="R7" s="28">
        <v>0.69115781699755185</v>
      </c>
      <c r="S7" s="28">
        <v>0.17394610920239312</v>
      </c>
    </row>
    <row r="8" spans="1:19">
      <c r="A8" s="84">
        <v>4</v>
      </c>
      <c r="B8" s="84">
        <v>16</v>
      </c>
      <c r="C8" s="28">
        <v>-0.16859160615667801</v>
      </c>
      <c r="D8" s="28">
        <v>6.0120332369513925E-2</v>
      </c>
      <c r="E8" s="28">
        <v>5.1748544948304463E-2</v>
      </c>
      <c r="F8" s="28">
        <v>3.6366747780660603E-2</v>
      </c>
      <c r="G8" s="28">
        <v>-0.11684306120837354</v>
      </c>
      <c r="H8" s="28">
        <v>7.026375102684887E-2</v>
      </c>
      <c r="I8" s="12">
        <f t="shared" si="0"/>
        <v>0.89104810392352918</v>
      </c>
      <c r="J8" s="12">
        <f t="shared" si="1"/>
        <v>0.21929015152126927</v>
      </c>
      <c r="K8" s="12"/>
      <c r="L8" s="12">
        <f>SUM(C$4:C8)</f>
        <v>-0.85917011280776123</v>
      </c>
      <c r="M8" s="28">
        <v>0.15183576900330459</v>
      </c>
      <c r="N8" s="12">
        <f>SUM(E$4:E8)</f>
        <v>6.3652187468319119E-2</v>
      </c>
      <c r="O8" s="28">
        <v>3.9524195350102202E-2</v>
      </c>
      <c r="P8" s="28">
        <v>-0.79551792533944199</v>
      </c>
      <c r="Q8" s="28">
        <v>0.15689570665540184</v>
      </c>
      <c r="R8" s="28">
        <v>0.89104810392352918</v>
      </c>
      <c r="S8" s="28">
        <v>0.21929015152126927</v>
      </c>
    </row>
    <row r="9" spans="1:19">
      <c r="A9" s="84">
        <v>5</v>
      </c>
      <c r="B9" s="84">
        <v>20</v>
      </c>
      <c r="C9" s="28">
        <v>-9.5441582413366713E-2</v>
      </c>
      <c r="D9" s="28">
        <v>4.7120184241139056E-2</v>
      </c>
      <c r="E9" s="28">
        <v>9.4930371936763569E-2</v>
      </c>
      <c r="F9" s="28">
        <v>5.7538293841437119E-2</v>
      </c>
      <c r="G9" s="28">
        <v>-5.1121047660314389E-4</v>
      </c>
      <c r="H9" s="28">
        <v>7.4370471432568253E-2</v>
      </c>
      <c r="I9" s="12">
        <f t="shared" si="0"/>
        <v>0.96836952603965309</v>
      </c>
      <c r="J9" s="12">
        <f t="shared" si="1"/>
        <v>0.25121056532644426</v>
      </c>
      <c r="K9" s="12"/>
      <c r="L9" s="12">
        <f>SUM(C$4:C9)</f>
        <v>-0.95461169522112799</v>
      </c>
      <c r="M9" s="28">
        <v>0.15897928327849437</v>
      </c>
      <c r="N9" s="12">
        <f>SUM(E$4:E9)</f>
        <v>0.1585825594050827</v>
      </c>
      <c r="O9" s="28">
        <v>6.9805567659439613E-2</v>
      </c>
      <c r="P9" s="28">
        <v>-0.79602913581604517</v>
      </c>
      <c r="Q9" s="28">
        <v>0.17362957636301588</v>
      </c>
      <c r="R9" s="28">
        <v>0.96836952603965309</v>
      </c>
      <c r="S9" s="28">
        <v>0.25121056532644426</v>
      </c>
    </row>
    <row r="10" spans="1:19">
      <c r="A10" s="84">
        <v>6</v>
      </c>
      <c r="B10" s="84">
        <v>24</v>
      </c>
      <c r="C10" s="28">
        <v>-5.8663268678480249E-2</v>
      </c>
      <c r="D10" s="28">
        <v>3.3552923365260653E-2</v>
      </c>
      <c r="E10" s="28">
        <v>0.16301160500110884</v>
      </c>
      <c r="F10" s="28">
        <v>8.6382424562018972E-2</v>
      </c>
      <c r="G10" s="28">
        <v>0.10434833632262859</v>
      </c>
      <c r="H10" s="28">
        <v>9.2669962445055265E-2</v>
      </c>
      <c r="I10" s="12">
        <f t="shared" si="0"/>
        <v>0.98365813017385761</v>
      </c>
      <c r="J10" s="12">
        <f t="shared" si="1"/>
        <v>0.27144530803453842</v>
      </c>
      <c r="K10" s="12"/>
      <c r="L10" s="12">
        <f>SUM(C$4:C10)</f>
        <v>-1.0132749638996081</v>
      </c>
      <c r="M10" s="28">
        <v>0.16248141794709575</v>
      </c>
      <c r="N10" s="12">
        <f>SUM(E$4:E10)</f>
        <v>0.32159416440619154</v>
      </c>
      <c r="O10" s="28">
        <v>0.11106187712023195</v>
      </c>
      <c r="P10" s="28">
        <v>-0.69168079949341654</v>
      </c>
      <c r="Q10" s="28">
        <v>0.19681197048850538</v>
      </c>
      <c r="R10" s="28">
        <v>0.98365813017385761</v>
      </c>
      <c r="S10" s="28">
        <v>0.27144530803453842</v>
      </c>
    </row>
    <row r="11" spans="1:19">
      <c r="A11" s="84">
        <v>7</v>
      </c>
      <c r="B11" s="84">
        <v>28</v>
      </c>
      <c r="C11" s="28">
        <v>-2.3729731573953635E-2</v>
      </c>
      <c r="D11" s="28">
        <v>1.606068264226572E-2</v>
      </c>
      <c r="E11" s="28">
        <v>0.14242264396129659</v>
      </c>
      <c r="F11" s="28">
        <v>9.5785661915046963E-2</v>
      </c>
      <c r="G11" s="28">
        <v>0.11869291238734295</v>
      </c>
      <c r="H11" s="28">
        <v>9.7122801418818502E-2</v>
      </c>
      <c r="I11" s="12">
        <f t="shared" si="0"/>
        <v>0.9800404950799203</v>
      </c>
      <c r="J11" s="12">
        <f t="shared" si="1"/>
        <v>0.29182663923205299</v>
      </c>
      <c r="K11" s="12"/>
      <c r="L11" s="12">
        <f>SUM(C$4:C11)</f>
        <v>-1.0370046954735617</v>
      </c>
      <c r="M11" s="28">
        <v>0.16327325777675408</v>
      </c>
      <c r="N11" s="12">
        <f>SUM(E$4:E11)</f>
        <v>0.46401680836748815</v>
      </c>
      <c r="O11" s="28">
        <v>0.14666162953538045</v>
      </c>
      <c r="P11" s="28">
        <v>-0.57298788710607362</v>
      </c>
      <c r="Q11" s="28">
        <v>0.21947161612155583</v>
      </c>
      <c r="R11" s="28">
        <v>0.9800404950799203</v>
      </c>
      <c r="S11" s="28">
        <v>0.29182663923205299</v>
      </c>
    </row>
    <row r="12" spans="1:19">
      <c r="A12" s="84">
        <v>8</v>
      </c>
      <c r="B12" s="84">
        <v>32</v>
      </c>
      <c r="C12" s="28">
        <v>-1.4492727641764815E-2</v>
      </c>
      <c r="D12" s="28">
        <v>1.121242637435905E-2</v>
      </c>
      <c r="E12" s="28">
        <v>0.17886577852387714</v>
      </c>
      <c r="F12" s="28">
        <v>0.1077128036588333</v>
      </c>
      <c r="G12" s="28">
        <v>0.16437305088211232</v>
      </c>
      <c r="H12" s="28">
        <v>0.10829481325182104</v>
      </c>
      <c r="I12" s="12">
        <f t="shared" si="0"/>
        <v>0.86192870357473528</v>
      </c>
      <c r="J12" s="12">
        <f t="shared" si="1"/>
        <v>0.31195581084223439</v>
      </c>
      <c r="K12" s="12"/>
      <c r="L12" s="12">
        <f>SUM(C$4:C12)</f>
        <v>-1.0514974231153265</v>
      </c>
      <c r="M12" s="28">
        <v>0.163657799112156</v>
      </c>
      <c r="N12" s="12">
        <f>SUM(E$4:E12)</f>
        <v>0.64288258689136524</v>
      </c>
      <c r="O12" s="28">
        <v>0.18196615523228366</v>
      </c>
      <c r="P12" s="28">
        <v>-0.40861483622396133</v>
      </c>
      <c r="Q12" s="28">
        <v>0.24473568775365467</v>
      </c>
      <c r="R12" s="28">
        <v>0.86192870357473528</v>
      </c>
      <c r="S12" s="28">
        <v>0.31195581084223439</v>
      </c>
    </row>
    <row r="13" spans="1:19">
      <c r="A13" s="84">
        <v>9</v>
      </c>
      <c r="B13" s="84">
        <v>36</v>
      </c>
      <c r="C13" s="28">
        <v>-7.3474172235702866E-3</v>
      </c>
      <c r="D13" s="28">
        <v>7.4500777284823476E-3</v>
      </c>
      <c r="E13" s="28">
        <v>0.17779919336800315</v>
      </c>
      <c r="F13" s="28">
        <v>0.12090504072983958</v>
      </c>
      <c r="G13" s="28">
        <v>0.17045177614443285</v>
      </c>
      <c r="H13" s="28">
        <v>0.12113435735597311</v>
      </c>
      <c r="I13" s="12">
        <f t="shared" si="0"/>
        <v>0.74636821287823263</v>
      </c>
      <c r="J13" s="12">
        <f t="shared" si="1"/>
        <v>0.33221333338998954</v>
      </c>
      <c r="K13" s="12"/>
      <c r="L13" s="12">
        <f>SUM(C$4:C13)</f>
        <v>-1.0588448403388968</v>
      </c>
      <c r="M13" s="28">
        <v>0.16382728365078644</v>
      </c>
      <c r="N13" s="12">
        <f>SUM(E$4:E13)</f>
        <v>0.82068178025936844</v>
      </c>
      <c r="O13" s="28">
        <v>0.21847130366229731</v>
      </c>
      <c r="P13" s="28">
        <v>-0.23816306007952848</v>
      </c>
      <c r="Q13" s="28">
        <v>0.2730734139243492</v>
      </c>
      <c r="R13" s="28">
        <v>0.74636821287823263</v>
      </c>
      <c r="S13" s="28">
        <v>0.33221333338998954</v>
      </c>
    </row>
    <row r="14" spans="1:19">
      <c r="A14" s="84">
        <v>10</v>
      </c>
      <c r="B14" s="84">
        <v>40</v>
      </c>
      <c r="C14" s="28">
        <v>-3.0796237919370395E-3</v>
      </c>
      <c r="D14" s="28">
        <v>7.0728849421057768E-3</v>
      </c>
      <c r="E14" s="28">
        <v>0.17367247926148555</v>
      </c>
      <c r="F14" s="28">
        <v>0.14988600782915529</v>
      </c>
      <c r="G14" s="28">
        <v>0.1705928554695485</v>
      </c>
      <c r="H14" s="28">
        <v>0.15005279419046441</v>
      </c>
      <c r="I14" s="12">
        <f t="shared" si="0"/>
        <v>0.66473164546581709</v>
      </c>
      <c r="J14" s="12">
        <f t="shared" si="1"/>
        <v>0.34577371913295424</v>
      </c>
      <c r="K14" s="12"/>
      <c r="L14" s="12">
        <f>SUM(C$4:C14)</f>
        <v>-1.0619244641308339</v>
      </c>
      <c r="M14" s="28">
        <v>0.16397989074822408</v>
      </c>
      <c r="N14" s="12">
        <f>SUM(E$4:E14)</f>
        <v>0.99435425952085399</v>
      </c>
      <c r="O14" s="28">
        <v>0.26494438259164005</v>
      </c>
      <c r="P14" s="28">
        <v>-6.7570204609979978E-2</v>
      </c>
      <c r="Q14" s="28">
        <v>0.31158454781433692</v>
      </c>
      <c r="R14" s="28">
        <v>0.66473164546581709</v>
      </c>
      <c r="S14" s="28">
        <v>0.34577371913295424</v>
      </c>
    </row>
    <row r="15" spans="1:19">
      <c r="A15" s="84">
        <v>11</v>
      </c>
      <c r="B15" s="84">
        <v>44</v>
      </c>
      <c r="C15" s="28">
        <v>-2.6595231652943294E-3</v>
      </c>
      <c r="D15" s="28">
        <v>4.9213092099207765E-3</v>
      </c>
      <c r="E15" s="28">
        <v>0.11723154555586687</v>
      </c>
      <c r="F15" s="28">
        <v>7.6249011316759888E-2</v>
      </c>
      <c r="G15" s="28">
        <v>0.11457202239057254</v>
      </c>
      <c r="H15" s="28">
        <v>7.6407663301026482E-2</v>
      </c>
      <c r="I15" s="12">
        <f t="shared" si="0"/>
        <v>0.56428378057957651</v>
      </c>
      <c r="J15" s="12">
        <f t="shared" si="1"/>
        <v>0.35729925787820094</v>
      </c>
      <c r="K15" s="12"/>
      <c r="L15" s="12">
        <f>SUM(C$4:C15)</f>
        <v>-1.0645839872961282</v>
      </c>
      <c r="M15" s="28">
        <v>0.16405372246352459</v>
      </c>
      <c r="N15" s="12">
        <f>SUM(E$4:E15)</f>
        <v>1.1115858050767209</v>
      </c>
      <c r="O15" s="28">
        <v>0.27569809138557472</v>
      </c>
      <c r="P15" s="28">
        <v>4.7001817780592564E-2</v>
      </c>
      <c r="Q15" s="28">
        <v>0.32081624249371765</v>
      </c>
      <c r="R15" s="28">
        <v>0.56428378057957651</v>
      </c>
      <c r="S15" s="28">
        <v>0.35729925787820094</v>
      </c>
    </row>
    <row r="16" spans="1:19">
      <c r="A16" s="84">
        <v>12</v>
      </c>
      <c r="B16" s="84">
        <v>48</v>
      </c>
      <c r="C16" s="28">
        <v>-9.0800562899970099E-4</v>
      </c>
      <c r="D16" s="28">
        <v>1.4161168375377616E-3</v>
      </c>
      <c r="E16" s="28">
        <v>8.9847364857328443E-2</v>
      </c>
      <c r="F16" s="28">
        <v>7.393717277081184E-2</v>
      </c>
      <c r="G16" s="28">
        <v>8.893935922832874E-2</v>
      </c>
      <c r="H16" s="28">
        <v>7.3950732952678955E-2</v>
      </c>
      <c r="I16" s="12">
        <f t="shared" si="0"/>
        <v>0.47895941656893221</v>
      </c>
      <c r="J16" s="12">
        <f t="shared" si="1"/>
        <v>0.36351569445355214</v>
      </c>
      <c r="K16" s="12"/>
      <c r="L16" s="12">
        <f>SUM(C$4:C16)</f>
        <v>-1.0654919929251279</v>
      </c>
      <c r="M16" s="28">
        <v>0.16405983433197996</v>
      </c>
      <c r="N16" s="12">
        <f>SUM(E$4:E16)</f>
        <v>1.2014331699340492</v>
      </c>
      <c r="O16" s="28">
        <v>0.28544026189553146</v>
      </c>
      <c r="P16" s="28">
        <v>0.1359411770089213</v>
      </c>
      <c r="Q16" s="28">
        <v>0.32922905757546111</v>
      </c>
      <c r="R16" s="28">
        <v>0.47895941656893221</v>
      </c>
      <c r="S16" s="28">
        <v>0.36351569445355214</v>
      </c>
    </row>
    <row r="17" spans="1:21">
      <c r="A17" s="84">
        <v>13</v>
      </c>
      <c r="B17" s="84">
        <v>52</v>
      </c>
      <c r="C17" s="28">
        <v>-8.5603485982759528E-5</v>
      </c>
      <c r="D17" s="28">
        <v>3.6611031653307679E-3</v>
      </c>
      <c r="E17" s="28">
        <v>3.703867568152356E-2</v>
      </c>
      <c r="F17" s="28">
        <v>3.9892196540749818E-2</v>
      </c>
      <c r="G17" s="28">
        <v>3.6953072195540802E-2</v>
      </c>
      <c r="H17" s="28">
        <v>4.0059843000603571E-2</v>
      </c>
      <c r="I17" s="12">
        <f t="shared" si="0"/>
        <v>0.42438693446595194</v>
      </c>
      <c r="J17" s="12">
        <f t="shared" si="1"/>
        <v>0.36628396578672512</v>
      </c>
      <c r="K17" s="12"/>
      <c r="L17" s="12">
        <f>SUM(C$4:C17)</f>
        <v>-1.0655775964111107</v>
      </c>
      <c r="M17" s="28">
        <v>0.16410067921073301</v>
      </c>
      <c r="N17" s="12">
        <f>SUM(E$4:E17)</f>
        <v>1.2384718456155728</v>
      </c>
      <c r="O17" s="28">
        <v>0.28821438280529199</v>
      </c>
      <c r="P17" s="28">
        <v>0.17289424920446211</v>
      </c>
      <c r="Q17" s="28">
        <v>0.33165729808532679</v>
      </c>
      <c r="R17" s="28">
        <v>0.42438693446595194</v>
      </c>
      <c r="S17" s="28">
        <v>0.36628396578672512</v>
      </c>
    </row>
    <row r="18" spans="1:21">
      <c r="A18" s="84">
        <v>14</v>
      </c>
      <c r="B18" s="84">
        <v>56</v>
      </c>
      <c r="C18" s="28">
        <v>-8.027832415944061E-4</v>
      </c>
      <c r="D18" s="28">
        <v>2.5754247407961109E-3</v>
      </c>
      <c r="E18" s="28">
        <v>3.6003730560302843E-2</v>
      </c>
      <c r="F18" s="28">
        <v>3.5397103808538846E-2</v>
      </c>
      <c r="G18" s="28">
        <v>3.5200947318708438E-2</v>
      </c>
      <c r="H18" s="28">
        <v>3.5490671600125853E-2</v>
      </c>
      <c r="I18" s="12">
        <f t="shared" si="0"/>
        <v>0.3778369921518599</v>
      </c>
      <c r="J18" s="12">
        <f t="shared" si="1"/>
        <v>0.36824532311306435</v>
      </c>
      <c r="K18" s="12"/>
      <c r="L18" s="12">
        <f>SUM(C$4:C18)</f>
        <v>-1.0663803796527052</v>
      </c>
      <c r="M18" s="28">
        <v>0.16412088754945059</v>
      </c>
      <c r="N18" s="12">
        <f>SUM(E$4:E18)</f>
        <v>1.2744755761758757</v>
      </c>
      <c r="O18" s="28">
        <v>0.2903798984328424</v>
      </c>
      <c r="P18" s="28">
        <v>0.20809519652317054</v>
      </c>
      <c r="Q18" s="28">
        <v>0.3335508224302367</v>
      </c>
      <c r="R18" s="28">
        <v>0.3778369921518599</v>
      </c>
      <c r="S18" s="28">
        <v>0.36824532311306435</v>
      </c>
      <c r="U18" s="88" t="s">
        <v>78</v>
      </c>
    </row>
    <row r="19" spans="1:21">
      <c r="A19" s="84">
        <v>15</v>
      </c>
      <c r="B19" s="84">
        <v>60</v>
      </c>
      <c r="C19" s="28">
        <v>0</v>
      </c>
      <c r="D19" s="28">
        <v>0</v>
      </c>
      <c r="E19" s="28">
        <v>2.1640318460527334E-2</v>
      </c>
      <c r="F19" s="28">
        <v>2.9420073311058215E-2</v>
      </c>
      <c r="G19" s="28">
        <v>2.1640318460527334E-2</v>
      </c>
      <c r="H19" s="28">
        <v>2.9420073311058215E-2</v>
      </c>
      <c r="I19" s="12">
        <f t="shared" si="0"/>
        <v>0.35867890820151233</v>
      </c>
      <c r="J19" s="12">
        <f t="shared" si="1"/>
        <v>0.36922975136845315</v>
      </c>
      <c r="K19" s="12"/>
      <c r="L19" s="12">
        <f>SUM(C$4:C19)</f>
        <v>-1.0663803796527052</v>
      </c>
      <c r="M19" s="28">
        <v>0.16412088754945059</v>
      </c>
      <c r="N19" s="12">
        <f>SUM(E$4:E19)</f>
        <v>1.2961158946364031</v>
      </c>
      <c r="O19" s="28">
        <v>0.29186645255578092</v>
      </c>
      <c r="P19" s="28">
        <v>0.22973551498369787</v>
      </c>
      <c r="Q19" s="28">
        <v>0.33484577324122722</v>
      </c>
      <c r="R19" s="28">
        <v>0.35867890820151233</v>
      </c>
      <c r="S19" s="28">
        <v>0.36922975136845315</v>
      </c>
      <c r="U19" s="89">
        <f>(N19+R19)/L19</f>
        <v>-1.5517866179953939</v>
      </c>
    </row>
  </sheetData>
  <mergeCells count="8">
    <mergeCell ref="R2:S2"/>
    <mergeCell ref="G2:H2"/>
    <mergeCell ref="P2:Q2"/>
    <mergeCell ref="C2:D2"/>
    <mergeCell ref="E2:F2"/>
    <mergeCell ref="I2:J2"/>
    <mergeCell ref="L2:M2"/>
    <mergeCell ref="N2:O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0A7B-3DDD-4D08-B71B-36BA3ADA2BA8}">
  <sheetPr codeName="Sheet5"/>
  <dimension ref="A1:U19"/>
  <sheetViews>
    <sheetView workbookViewId="0">
      <selection activeCell="D4" sqref="D4"/>
    </sheetView>
  </sheetViews>
  <sheetFormatPr defaultRowHeight="15"/>
  <cols>
    <col min="1" max="1" width="19.85546875" style="84" bestFit="1" customWidth="1"/>
    <col min="2" max="20" width="9.140625" style="84"/>
    <col min="21" max="21" width="12.28515625" style="84" bestFit="1" customWidth="1"/>
    <col min="22" max="16384" width="9.140625" style="84"/>
  </cols>
  <sheetData>
    <row r="1" spans="1:19">
      <c r="C1" s="87" t="s">
        <v>26</v>
      </c>
      <c r="D1" s="87"/>
      <c r="E1" s="87"/>
      <c r="F1" s="87"/>
      <c r="G1" s="87"/>
      <c r="H1" s="87"/>
      <c r="I1" s="87"/>
      <c r="J1" s="87"/>
      <c r="L1" s="87" t="s">
        <v>25</v>
      </c>
      <c r="M1" s="87"/>
      <c r="N1" s="87"/>
      <c r="O1" s="87"/>
      <c r="P1" s="87"/>
      <c r="Q1" s="87"/>
      <c r="R1" s="87"/>
      <c r="S1" s="87"/>
    </row>
    <row r="2" spans="1:19">
      <c r="C2" s="143" t="s">
        <v>77</v>
      </c>
      <c r="D2" s="143"/>
      <c r="E2" s="143" t="s">
        <v>76</v>
      </c>
      <c r="F2" s="143"/>
      <c r="G2" s="143" t="s">
        <v>80</v>
      </c>
      <c r="H2" s="143"/>
      <c r="I2" s="143" t="s">
        <v>75</v>
      </c>
      <c r="J2" s="143"/>
      <c r="L2" s="143" t="s">
        <v>81</v>
      </c>
      <c r="M2" s="143"/>
      <c r="N2" s="143" t="s">
        <v>82</v>
      </c>
      <c r="O2" s="143"/>
      <c r="P2" s="143" t="s">
        <v>83</v>
      </c>
      <c r="Q2" s="143"/>
      <c r="R2" s="143" t="s">
        <v>84</v>
      </c>
      <c r="S2" s="143"/>
    </row>
    <row r="3" spans="1:19">
      <c r="A3" s="84" t="s">
        <v>74</v>
      </c>
      <c r="B3" s="84" t="s">
        <v>73</v>
      </c>
      <c r="C3" s="85" t="s">
        <v>72</v>
      </c>
      <c r="D3" s="85" t="s">
        <v>71</v>
      </c>
      <c r="E3" s="85" t="s">
        <v>72</v>
      </c>
      <c r="F3" s="85" t="s">
        <v>71</v>
      </c>
      <c r="G3" s="85" t="s">
        <v>72</v>
      </c>
      <c r="H3" s="85" t="s">
        <v>71</v>
      </c>
      <c r="I3" s="85" t="s">
        <v>72</v>
      </c>
      <c r="J3" s="85" t="s">
        <v>71</v>
      </c>
      <c r="L3" s="85" t="s">
        <v>72</v>
      </c>
      <c r="M3" s="85" t="s">
        <v>71</v>
      </c>
      <c r="N3" s="85" t="s">
        <v>72</v>
      </c>
      <c r="O3" s="85" t="s">
        <v>71</v>
      </c>
      <c r="P3" s="85" t="s">
        <v>72</v>
      </c>
      <c r="Q3" s="85" t="s">
        <v>71</v>
      </c>
      <c r="R3" s="85" t="s">
        <v>72</v>
      </c>
      <c r="S3" s="85" t="s">
        <v>71</v>
      </c>
    </row>
    <row r="4" spans="1:19">
      <c r="A4" s="84">
        <v>0</v>
      </c>
      <c r="B4" s="84">
        <v>0</v>
      </c>
      <c r="C4" s="28"/>
      <c r="D4" s="28">
        <v>3.7875615189527742E-2</v>
      </c>
      <c r="E4" s="28"/>
      <c r="F4" s="28">
        <v>0</v>
      </c>
      <c r="G4" s="28"/>
      <c r="H4" s="28">
        <v>3.7875615189527742E-2</v>
      </c>
      <c r="I4" s="28">
        <v>6.8707322407007096E-2</v>
      </c>
      <c r="J4" s="28">
        <v>3.8554430960605943E-2</v>
      </c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84">
        <v>1</v>
      </c>
      <c r="B5" s="84">
        <v>4</v>
      </c>
      <c r="C5" s="95">
        <v>-0.23728645528779854</v>
      </c>
      <c r="D5" s="28">
        <v>0.11790838510275252</v>
      </c>
      <c r="E5" s="95">
        <v>1.0667405391746069E-4</v>
      </c>
      <c r="F5" s="28">
        <v>6.2014678361051081E-4</v>
      </c>
      <c r="G5" s="95">
        <v>-0.23717978123388109</v>
      </c>
      <c r="H5" s="28">
        <v>0.11791001594254924</v>
      </c>
      <c r="I5" s="12">
        <f>R5</f>
        <v>0.22347147574644466</v>
      </c>
      <c r="J5" s="12">
        <f>S5</f>
        <v>0.12459635547613705</v>
      </c>
      <c r="K5" s="12"/>
      <c r="L5" s="12">
        <f>SUM(C$4:C5)</f>
        <v>-0.23728645528779854</v>
      </c>
      <c r="M5" s="28">
        <v>0.12384243821697058</v>
      </c>
      <c r="N5" s="12">
        <f>SUM(E$4:E5)</f>
        <v>1.0667405391746069E-4</v>
      </c>
      <c r="O5" s="28">
        <v>6.2014678361051081E-4</v>
      </c>
      <c r="P5" s="28">
        <v>-0.23717978123388109</v>
      </c>
      <c r="Q5" s="28">
        <v>0.12384399091420382</v>
      </c>
      <c r="R5" s="28">
        <v>0.22347147574644466</v>
      </c>
      <c r="S5" s="28">
        <v>0.12459635547613705</v>
      </c>
    </row>
    <row r="6" spans="1:19">
      <c r="A6" s="84">
        <v>2</v>
      </c>
      <c r="B6" s="84">
        <v>8</v>
      </c>
      <c r="C6" s="28">
        <v>-0.23273370219246847</v>
      </c>
      <c r="D6" s="28">
        <v>6.8172464220890447E-2</v>
      </c>
      <c r="E6" s="28">
        <v>2.322894669247303E-4</v>
      </c>
      <c r="F6" s="28">
        <v>1.024201675851567E-3</v>
      </c>
      <c r="G6" s="28">
        <v>-0.23250141272554375</v>
      </c>
      <c r="H6" s="28">
        <v>6.8180157428839996E-2</v>
      </c>
      <c r="I6" s="12">
        <f t="shared" ref="I6:I19" si="0">R6</f>
        <v>0.47424318974135832</v>
      </c>
      <c r="J6" s="12">
        <f t="shared" ref="J6:J19" si="1">S6</f>
        <v>0.16131201772629292</v>
      </c>
      <c r="K6" s="12"/>
      <c r="L6" s="12">
        <f>SUM(C$4:C6)</f>
        <v>-0.47002015748026704</v>
      </c>
      <c r="M6" s="28">
        <v>0.14136631275333159</v>
      </c>
      <c r="N6" s="12">
        <f>SUM(E$4:E6)</f>
        <v>3.38963520842191E-4</v>
      </c>
      <c r="O6" s="28">
        <v>1.1973182977135278E-3</v>
      </c>
      <c r="P6" s="28">
        <v>-0.46968119395942487</v>
      </c>
      <c r="Q6" s="28">
        <v>0.14137138307514291</v>
      </c>
      <c r="R6" s="28">
        <v>0.47424318974135832</v>
      </c>
      <c r="S6" s="28">
        <v>0.16131201772629292</v>
      </c>
    </row>
    <row r="7" spans="1:19">
      <c r="A7" s="84">
        <v>3</v>
      </c>
      <c r="B7" s="84">
        <v>12</v>
      </c>
      <c r="C7" s="28">
        <v>-0.22317462259369741</v>
      </c>
      <c r="D7" s="28">
        <v>7.9556116756839088E-2</v>
      </c>
      <c r="E7" s="28">
        <v>2.36248975378659E-2</v>
      </c>
      <c r="F7" s="28">
        <v>4.9253065956285542E-2</v>
      </c>
      <c r="G7" s="28">
        <v>-0.19954972505583152</v>
      </c>
      <c r="H7" s="28">
        <v>9.3568371897356575E-2</v>
      </c>
      <c r="I7" s="12">
        <f t="shared" si="0"/>
        <v>0.72963727394569533</v>
      </c>
      <c r="J7" s="12">
        <f t="shared" si="1"/>
        <v>0.2069550986687208</v>
      </c>
      <c r="K7" s="12"/>
      <c r="L7" s="12">
        <f>SUM(C$4:C7)</f>
        <v>-0.6931947800739644</v>
      </c>
      <c r="M7" s="28">
        <v>0.16221470369513541</v>
      </c>
      <c r="N7" s="12">
        <f>SUM(E$4:E7)</f>
        <v>2.396386105870809E-2</v>
      </c>
      <c r="O7" s="28">
        <v>4.9267616922277185E-2</v>
      </c>
      <c r="P7" s="28">
        <v>-0.66923091901525633</v>
      </c>
      <c r="Q7" s="28">
        <v>0.16953143712037844</v>
      </c>
      <c r="R7" s="28">
        <v>0.72963727394569533</v>
      </c>
      <c r="S7" s="28">
        <v>0.2069550986687208</v>
      </c>
    </row>
    <row r="8" spans="1:19">
      <c r="A8" s="84">
        <v>4</v>
      </c>
      <c r="B8" s="84">
        <v>16</v>
      </c>
      <c r="C8" s="28">
        <v>-0.15014063327485483</v>
      </c>
      <c r="D8" s="28">
        <v>5.1868219076835982E-2</v>
      </c>
      <c r="E8" s="28">
        <v>7.0688776256720931E-2</v>
      </c>
      <c r="F8" s="28">
        <v>8.5823655797253401E-2</v>
      </c>
      <c r="G8" s="28">
        <v>-7.9451857018133898E-2</v>
      </c>
      <c r="H8" s="28">
        <v>0.10027966914887623</v>
      </c>
      <c r="I8" s="12">
        <f t="shared" si="0"/>
        <v>0.91127213070588475</v>
      </c>
      <c r="J8" s="12">
        <f t="shared" si="1"/>
        <v>0.27025620677093687</v>
      </c>
      <c r="K8" s="12"/>
      <c r="L8" s="12">
        <f>SUM(C$4:C8)</f>
        <v>-0.84333541334881923</v>
      </c>
      <c r="M8" s="28">
        <v>0.17030537937805498</v>
      </c>
      <c r="N8" s="12">
        <f>SUM(E$4:E8)</f>
        <v>9.4652637315429028E-2</v>
      </c>
      <c r="O8" s="28">
        <v>9.8959577462748291E-2</v>
      </c>
      <c r="P8" s="28">
        <v>-0.74868277603339028</v>
      </c>
      <c r="Q8" s="28">
        <v>0.19696933826539831</v>
      </c>
      <c r="R8" s="28">
        <v>0.91127213070588475</v>
      </c>
      <c r="S8" s="28">
        <v>0.27025620677093687</v>
      </c>
    </row>
    <row r="9" spans="1:19">
      <c r="A9" s="84">
        <v>5</v>
      </c>
      <c r="B9" s="84">
        <v>20</v>
      </c>
      <c r="C9" s="28">
        <v>-9.9490847595999091E-2</v>
      </c>
      <c r="D9" s="28">
        <v>3.8067170212751668E-2</v>
      </c>
      <c r="E9" s="28">
        <v>0.11564394677267031</v>
      </c>
      <c r="F9" s="28">
        <v>8.6649586715645766E-2</v>
      </c>
      <c r="G9" s="28">
        <v>1.6153099176671223E-2</v>
      </c>
      <c r="H9" s="28">
        <v>9.4642803878577181E-2</v>
      </c>
      <c r="I9" s="12">
        <f t="shared" si="0"/>
        <v>0.9773386966567944</v>
      </c>
      <c r="J9" s="12">
        <f t="shared" si="1"/>
        <v>0.37202330940230399</v>
      </c>
      <c r="K9" s="12"/>
      <c r="L9" s="12">
        <f>SUM(C$4:C9)</f>
        <v>-0.94282626094481836</v>
      </c>
      <c r="M9" s="28">
        <v>0.1745079702853421</v>
      </c>
      <c r="N9" s="12">
        <f>SUM(E$4:E9)</f>
        <v>0.21029658408809934</v>
      </c>
      <c r="O9" s="28">
        <v>0.13153383157803125</v>
      </c>
      <c r="P9" s="28">
        <v>-0.7325296768567191</v>
      </c>
      <c r="Q9" s="28">
        <v>0.21852729930767853</v>
      </c>
      <c r="R9" s="28">
        <v>0.9773386966567944</v>
      </c>
      <c r="S9" s="28">
        <v>0.37202330940230399</v>
      </c>
    </row>
    <row r="10" spans="1:19">
      <c r="A10" s="84">
        <v>6</v>
      </c>
      <c r="B10" s="84">
        <v>24</v>
      </c>
      <c r="C10" s="28">
        <v>-4.6673195562228834E-2</v>
      </c>
      <c r="D10" s="28">
        <v>2.6445213117958145E-2</v>
      </c>
      <c r="E10" s="28">
        <v>0.1686788930327921</v>
      </c>
      <c r="F10" s="28">
        <v>0.10660303829318034</v>
      </c>
      <c r="G10" s="28">
        <v>0.12200569747056327</v>
      </c>
      <c r="H10" s="28">
        <v>0.10983422540443165</v>
      </c>
      <c r="I10" s="12">
        <f t="shared" si="0"/>
        <v>0.97298201471536405</v>
      </c>
      <c r="J10" s="12">
        <f t="shared" si="1"/>
        <v>0.39954870303817863</v>
      </c>
      <c r="K10" s="12"/>
      <c r="L10" s="12">
        <f>SUM(C$4:C10)</f>
        <v>-0.98949945650704718</v>
      </c>
      <c r="M10" s="28">
        <v>0.17650037107599537</v>
      </c>
      <c r="N10" s="12">
        <f>SUM(E$4:E10)</f>
        <v>0.37897547712089141</v>
      </c>
      <c r="O10" s="28">
        <v>0.16930846589268703</v>
      </c>
      <c r="P10" s="28">
        <v>-0.61052397938615588</v>
      </c>
      <c r="Q10" s="28">
        <v>0.24457664977037202</v>
      </c>
      <c r="R10" s="28">
        <v>0.97298201471536405</v>
      </c>
      <c r="S10" s="28">
        <v>0.39954870303817863</v>
      </c>
    </row>
    <row r="11" spans="1:19">
      <c r="A11" s="84">
        <v>7</v>
      </c>
      <c r="B11" s="84">
        <v>28</v>
      </c>
      <c r="C11" s="28">
        <v>-2.2503274589835212E-2</v>
      </c>
      <c r="D11" s="28">
        <v>1.617694022204039E-2</v>
      </c>
      <c r="E11" s="28">
        <v>0.17092816772139155</v>
      </c>
      <c r="F11" s="28">
        <v>9.4480030176480143E-2</v>
      </c>
      <c r="G11" s="28">
        <v>0.14842489313155632</v>
      </c>
      <c r="H11" s="28">
        <v>9.5854939867990457E-2</v>
      </c>
      <c r="I11" s="12">
        <f t="shared" si="0"/>
        <v>0.90210478184621645</v>
      </c>
      <c r="J11" s="12">
        <f t="shared" si="1"/>
        <v>0.4216119715758514</v>
      </c>
      <c r="K11" s="12"/>
      <c r="L11" s="12">
        <f>SUM(C$4:C11)</f>
        <v>-1.0120027310968824</v>
      </c>
      <c r="M11" s="28">
        <v>0.17724016019207253</v>
      </c>
      <c r="N11" s="12">
        <f>SUM(E$4:E11)</f>
        <v>0.54990364484228293</v>
      </c>
      <c r="O11" s="28">
        <v>0.19388613340072508</v>
      </c>
      <c r="P11" s="28">
        <v>-0.46209908625459956</v>
      </c>
      <c r="Q11" s="28">
        <v>0.26268975448234611</v>
      </c>
      <c r="R11" s="28">
        <v>0.90210478184621645</v>
      </c>
      <c r="S11" s="28">
        <v>0.4216119715758514</v>
      </c>
    </row>
    <row r="12" spans="1:19">
      <c r="A12" s="84">
        <v>8</v>
      </c>
      <c r="B12" s="84">
        <v>32</v>
      </c>
      <c r="C12" s="28">
        <v>-1.1780469073793166E-2</v>
      </c>
      <c r="D12" s="28">
        <v>1.0367674710003053E-2</v>
      </c>
      <c r="E12" s="28">
        <v>0.1807730266266469</v>
      </c>
      <c r="F12" s="28">
        <v>0.10493617567679818</v>
      </c>
      <c r="G12" s="28">
        <v>0.16899255755285375</v>
      </c>
      <c r="H12" s="28">
        <v>0.10544709405462194</v>
      </c>
      <c r="I12" s="12">
        <f t="shared" si="0"/>
        <v>0.8466233483335438</v>
      </c>
      <c r="J12" s="12">
        <f t="shared" si="1"/>
        <v>0.43708938994463592</v>
      </c>
      <c r="K12" s="12"/>
      <c r="L12" s="12">
        <f>SUM(C$4:C12)</f>
        <v>-1.0237832001706757</v>
      </c>
      <c r="M12" s="28">
        <v>0.17754313015096915</v>
      </c>
      <c r="N12" s="12">
        <f>SUM(E$4:E12)</f>
        <v>0.73067667146892989</v>
      </c>
      <c r="O12" s="28">
        <v>0.22046186448171851</v>
      </c>
      <c r="P12" s="28">
        <v>-0.29310652870174581</v>
      </c>
      <c r="Q12" s="28">
        <v>0.28306359136165776</v>
      </c>
      <c r="R12" s="28">
        <v>0.8466233483335438</v>
      </c>
      <c r="S12" s="28">
        <v>0.43708938994463592</v>
      </c>
    </row>
    <row r="13" spans="1:19">
      <c r="A13" s="84">
        <v>9</v>
      </c>
      <c r="B13" s="84">
        <v>36</v>
      </c>
      <c r="C13" s="28">
        <v>-6.3326310272178755E-3</v>
      </c>
      <c r="D13" s="28">
        <v>5.5305022986076148E-3</v>
      </c>
      <c r="E13" s="28">
        <v>0.19093881762062448</v>
      </c>
      <c r="F13" s="28">
        <v>0.11124777028360376</v>
      </c>
      <c r="G13" s="28">
        <v>0.18460618659340661</v>
      </c>
      <c r="H13" s="28">
        <v>0.11138515542363972</v>
      </c>
      <c r="I13" s="12">
        <f t="shared" si="0"/>
        <v>0.74842013394810714</v>
      </c>
      <c r="J13" s="12">
        <f t="shared" si="1"/>
        <v>0.45163210897608569</v>
      </c>
      <c r="K13" s="12"/>
      <c r="L13" s="12">
        <f>SUM(C$4:C13)</f>
        <v>-1.0301158311978935</v>
      </c>
      <c r="M13" s="28">
        <v>0.17762924736506339</v>
      </c>
      <c r="N13" s="12">
        <f>SUM(E$4:E13)</f>
        <v>0.92161548908955437</v>
      </c>
      <c r="O13" s="28">
        <v>0.2469402763500298</v>
      </c>
      <c r="P13" s="28">
        <v>-0.1085003421083392</v>
      </c>
      <c r="Q13" s="28">
        <v>0.30419015369223895</v>
      </c>
      <c r="R13" s="28">
        <v>0.74842013394810714</v>
      </c>
      <c r="S13" s="28">
        <v>0.45163210897608569</v>
      </c>
    </row>
    <row r="14" spans="1:19">
      <c r="A14" s="84">
        <v>10</v>
      </c>
      <c r="B14" s="84">
        <v>40</v>
      </c>
      <c r="C14" s="28">
        <v>-4.6303229844233719E-3</v>
      </c>
      <c r="D14" s="28">
        <v>4.9758807542976515E-3</v>
      </c>
      <c r="E14" s="28">
        <v>0.1667878118857519</v>
      </c>
      <c r="F14" s="28">
        <v>9.8132431468733267E-2</v>
      </c>
      <c r="G14" s="28">
        <v>0.16215748890132853</v>
      </c>
      <c r="H14" s="28">
        <v>9.8258503424622862E-2</v>
      </c>
      <c r="I14" s="12">
        <f t="shared" si="0"/>
        <v>0.64977759668746693</v>
      </c>
      <c r="J14" s="12">
        <f t="shared" si="1"/>
        <v>0.46026175620475401</v>
      </c>
      <c r="K14" s="12"/>
      <c r="L14" s="12">
        <f>SUM(C$4:C14)</f>
        <v>-1.0347461541823169</v>
      </c>
      <c r="M14" s="28">
        <v>0.17769892770852577</v>
      </c>
      <c r="N14" s="12">
        <f>SUM(E$4:E14)</f>
        <v>1.0884033009753062</v>
      </c>
      <c r="O14" s="28">
        <v>0.26572443280548125</v>
      </c>
      <c r="P14" s="28">
        <v>5.365714679298933E-2</v>
      </c>
      <c r="Q14" s="28">
        <v>0.31966604933673293</v>
      </c>
      <c r="R14" s="28">
        <v>0.64977759668746693</v>
      </c>
      <c r="S14" s="28">
        <v>0.46026175620475401</v>
      </c>
    </row>
    <row r="15" spans="1:19">
      <c r="A15" s="84">
        <v>11</v>
      </c>
      <c r="B15" s="84">
        <v>44</v>
      </c>
      <c r="C15" s="28">
        <v>-2.2484603790345146E-3</v>
      </c>
      <c r="D15" s="28">
        <v>2.3874369131272918E-3</v>
      </c>
      <c r="E15" s="28">
        <v>0.13783964918934294</v>
      </c>
      <c r="F15" s="28">
        <v>9.2225832438752625E-2</v>
      </c>
      <c r="G15" s="28">
        <v>0.13559118881030843</v>
      </c>
      <c r="H15" s="28">
        <v>9.225672888215275E-2</v>
      </c>
      <c r="I15" s="12">
        <f t="shared" si="0"/>
        <v>0.56613932916749832</v>
      </c>
      <c r="J15" s="12">
        <f t="shared" si="1"/>
        <v>0.46659000102925929</v>
      </c>
      <c r="K15" s="12"/>
      <c r="L15" s="12">
        <f>SUM(C$4:C15)</f>
        <v>-1.0369946145613513</v>
      </c>
      <c r="M15" s="28">
        <v>0.17771496494041808</v>
      </c>
      <c r="N15" s="12">
        <f>SUM(E$4:E15)</f>
        <v>1.2262429501646492</v>
      </c>
      <c r="O15" s="28">
        <v>0.28127402716713035</v>
      </c>
      <c r="P15" s="28">
        <v>0.18924833560329776</v>
      </c>
      <c r="Q15" s="28">
        <v>0.33271261942191133</v>
      </c>
      <c r="R15" s="28">
        <v>0.56613932916749832</v>
      </c>
      <c r="S15" s="28">
        <v>0.46659000102925929</v>
      </c>
    </row>
    <row r="16" spans="1:19">
      <c r="A16" s="84">
        <v>12</v>
      </c>
      <c r="B16" s="84">
        <v>48</v>
      </c>
      <c r="C16" s="28">
        <v>-7.4406057326465336E-4</v>
      </c>
      <c r="D16" s="28">
        <v>1.3802838999106243E-3</v>
      </c>
      <c r="E16" s="28">
        <v>0.11585251187304638</v>
      </c>
      <c r="F16" s="28">
        <v>8.2503773050742649E-2</v>
      </c>
      <c r="G16" s="28">
        <v>0.11510845129978173</v>
      </c>
      <c r="H16" s="28">
        <v>8.2515318282442573E-2</v>
      </c>
      <c r="I16" s="12">
        <f t="shared" si="0"/>
        <v>0.48253972650593524</v>
      </c>
      <c r="J16" s="12">
        <f t="shared" si="1"/>
        <v>0.46972902261554439</v>
      </c>
      <c r="K16" s="12"/>
      <c r="L16" s="12">
        <f>SUM(C$4:C16)</f>
        <v>-1.037738675134616</v>
      </c>
      <c r="M16" s="28">
        <v>0.17772032508246877</v>
      </c>
      <c r="N16" s="12">
        <f>SUM(E$4:E16)</f>
        <v>1.3420954620376957</v>
      </c>
      <c r="O16" s="28">
        <v>0.29312446320023178</v>
      </c>
      <c r="P16" s="28">
        <v>0.30435678690307949</v>
      </c>
      <c r="Q16" s="28">
        <v>0.34279215987802641</v>
      </c>
      <c r="R16" s="28">
        <v>0.48253972650593524</v>
      </c>
      <c r="S16" s="28">
        <v>0.46972902261554439</v>
      </c>
    </row>
    <row r="17" spans="1:21">
      <c r="A17" s="84">
        <v>13</v>
      </c>
      <c r="B17" s="84">
        <v>52</v>
      </c>
      <c r="C17" s="28">
        <v>-1.5619026105409946E-4</v>
      </c>
      <c r="D17" s="28">
        <v>4.1202906874190844E-4</v>
      </c>
      <c r="E17" s="28">
        <v>8.0855340545908955E-2</v>
      </c>
      <c r="F17" s="28">
        <v>6.5127910626369995E-2</v>
      </c>
      <c r="G17" s="28">
        <v>8.0699150284854859E-2</v>
      </c>
      <c r="H17" s="28">
        <v>6.512921395587333E-2</v>
      </c>
      <c r="I17" s="12">
        <f t="shared" si="0"/>
        <v>0.43233375129059098</v>
      </c>
      <c r="J17" s="12">
        <f t="shared" si="1"/>
        <v>0.47119200042428472</v>
      </c>
      <c r="K17" s="12"/>
      <c r="L17" s="12">
        <f>SUM(C$4:C17)</f>
        <v>-1.0378948653956701</v>
      </c>
      <c r="M17" s="28">
        <v>0.17772080270855142</v>
      </c>
      <c r="N17" s="12">
        <f>SUM(E$4:E17)</f>
        <v>1.4229508025836046</v>
      </c>
      <c r="O17" s="28">
        <v>0.30027253565549494</v>
      </c>
      <c r="P17" s="28">
        <v>0.38505593718793435</v>
      </c>
      <c r="Q17" s="28">
        <v>0.34892446085700607</v>
      </c>
      <c r="R17" s="28">
        <v>0.43233375129059098</v>
      </c>
      <c r="S17" s="28">
        <v>0.47119200042428472</v>
      </c>
    </row>
    <row r="18" spans="1:21">
      <c r="A18" s="84">
        <v>14</v>
      </c>
      <c r="B18" s="84">
        <v>56</v>
      </c>
      <c r="C18" s="28">
        <v>-2.2448935872209185E-4</v>
      </c>
      <c r="D18" s="28">
        <v>7.4350709778306997E-4</v>
      </c>
      <c r="E18" s="28">
        <v>7.0753919497417037E-2</v>
      </c>
      <c r="F18" s="28">
        <v>5.1223989897549407E-2</v>
      </c>
      <c r="G18" s="28">
        <v>7.0529430138694948E-2</v>
      </c>
      <c r="H18" s="28">
        <v>5.122938554998193E-2</v>
      </c>
      <c r="I18" s="12">
        <f t="shared" si="0"/>
        <v>0.39186386148389124</v>
      </c>
      <c r="J18" s="12">
        <f t="shared" si="1"/>
        <v>0.47189861712672787</v>
      </c>
      <c r="K18" s="12"/>
      <c r="L18" s="12">
        <f>SUM(C$4:C18)</f>
        <v>-1.0381193547543921</v>
      </c>
      <c r="M18" s="28">
        <v>0.17772235795806987</v>
      </c>
      <c r="N18" s="12">
        <f>SUM(E$4:E18)</f>
        <v>1.4937047220810216</v>
      </c>
      <c r="O18" s="28">
        <v>0.30461039511153382</v>
      </c>
      <c r="P18" s="28">
        <v>0.4555853673266293</v>
      </c>
      <c r="Q18" s="28">
        <v>0.35266518020380327</v>
      </c>
      <c r="R18" s="28">
        <v>0.39186386148389124</v>
      </c>
      <c r="S18" s="28">
        <v>0.47189861712672787</v>
      </c>
      <c r="U18" s="88" t="s">
        <v>78</v>
      </c>
    </row>
    <row r="19" spans="1:21">
      <c r="A19" s="84">
        <v>15</v>
      </c>
      <c r="B19" s="84">
        <v>60</v>
      </c>
      <c r="C19" s="28">
        <v>-7.8131230716974132E-6</v>
      </c>
      <c r="D19" s="28">
        <v>4.0598178377905593E-5</v>
      </c>
      <c r="E19" s="28">
        <v>4.7436099476767177E-2</v>
      </c>
      <c r="F19" s="28">
        <v>4.0147674850866226E-2</v>
      </c>
      <c r="G19" s="28">
        <v>4.7428286353695483E-2</v>
      </c>
      <c r="H19" s="28">
        <v>4.0147695377729518E-2</v>
      </c>
      <c r="I19" s="12">
        <f t="shared" si="0"/>
        <v>0.35970177006102788</v>
      </c>
      <c r="J19" s="12">
        <f t="shared" si="1"/>
        <v>0.47255184267278255</v>
      </c>
      <c r="K19" s="12"/>
      <c r="L19" s="12">
        <f>SUM(C$4:C19)</f>
        <v>-1.0381271678774637</v>
      </c>
      <c r="M19" s="28">
        <v>0.17772236259511184</v>
      </c>
      <c r="N19" s="12">
        <f>SUM(E$4:E19)</f>
        <v>1.5411408215577886</v>
      </c>
      <c r="O19" s="28">
        <v>0.30724473731202562</v>
      </c>
      <c r="P19" s="28">
        <v>0.5030136536803248</v>
      </c>
      <c r="Q19" s="28">
        <v>0.35494304722352854</v>
      </c>
      <c r="R19" s="28">
        <v>0.35970177006102788</v>
      </c>
      <c r="S19" s="28">
        <v>0.47255184267278255</v>
      </c>
      <c r="U19" s="89">
        <f>(N19+R19)/L19</f>
        <v>-1.8310305812584073</v>
      </c>
    </row>
  </sheetData>
  <mergeCells count="8">
    <mergeCell ref="R2:S2"/>
    <mergeCell ref="G2:H2"/>
    <mergeCell ref="P2:Q2"/>
    <mergeCell ref="C2:D2"/>
    <mergeCell ref="E2:F2"/>
    <mergeCell ref="I2:J2"/>
    <mergeCell ref="L2:M2"/>
    <mergeCell ref="N2:O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A81F-A457-447F-B1C7-4494BAA961FA}">
  <sheetPr codeName="Sheet6"/>
  <dimension ref="A1:U19"/>
  <sheetViews>
    <sheetView workbookViewId="0">
      <selection activeCell="D4" sqref="D4"/>
    </sheetView>
  </sheetViews>
  <sheetFormatPr defaultRowHeight="15"/>
  <cols>
    <col min="1" max="20" width="9.140625" style="84"/>
    <col min="21" max="21" width="12.28515625" style="84" bestFit="1" customWidth="1"/>
    <col min="22" max="16384" width="9.140625" style="84"/>
  </cols>
  <sheetData>
    <row r="1" spans="1:19">
      <c r="C1" s="87" t="s">
        <v>26</v>
      </c>
      <c r="D1" s="87"/>
      <c r="E1" s="87"/>
      <c r="F1" s="87"/>
      <c r="G1" s="87"/>
      <c r="H1" s="87"/>
      <c r="I1" s="87"/>
      <c r="J1" s="87"/>
      <c r="L1" s="87" t="s">
        <v>25</v>
      </c>
      <c r="M1" s="87"/>
      <c r="N1" s="87"/>
      <c r="O1" s="87"/>
      <c r="P1" s="87"/>
      <c r="Q1" s="87"/>
      <c r="R1" s="87"/>
      <c r="S1" s="87"/>
    </row>
    <row r="2" spans="1:19">
      <c r="C2" s="143" t="s">
        <v>77</v>
      </c>
      <c r="D2" s="143"/>
      <c r="E2" s="143" t="s">
        <v>76</v>
      </c>
      <c r="F2" s="143"/>
      <c r="G2" s="143" t="s">
        <v>80</v>
      </c>
      <c r="H2" s="143"/>
      <c r="I2" s="143" t="s">
        <v>75</v>
      </c>
      <c r="J2" s="143"/>
      <c r="L2" s="143" t="s">
        <v>81</v>
      </c>
      <c r="M2" s="143"/>
      <c r="N2" s="143" t="s">
        <v>82</v>
      </c>
      <c r="O2" s="143"/>
      <c r="P2" s="143" t="s">
        <v>83</v>
      </c>
      <c r="Q2" s="143"/>
      <c r="R2" s="143" t="s">
        <v>84</v>
      </c>
      <c r="S2" s="143"/>
    </row>
    <row r="3" spans="1:19">
      <c r="A3" s="84" t="s">
        <v>74</v>
      </c>
      <c r="B3" s="84" t="s">
        <v>73</v>
      </c>
      <c r="C3" s="85" t="s">
        <v>72</v>
      </c>
      <c r="D3" s="85" t="s">
        <v>71</v>
      </c>
      <c r="E3" s="85" t="s">
        <v>72</v>
      </c>
      <c r="F3" s="85" t="s">
        <v>71</v>
      </c>
      <c r="G3" s="85" t="s">
        <v>72</v>
      </c>
      <c r="H3" s="85" t="s">
        <v>71</v>
      </c>
      <c r="I3" s="85" t="s">
        <v>72</v>
      </c>
      <c r="J3" s="85" t="s">
        <v>71</v>
      </c>
      <c r="L3" s="85" t="s">
        <v>72</v>
      </c>
      <c r="M3" s="85" t="s">
        <v>71</v>
      </c>
      <c r="N3" s="85" t="s">
        <v>72</v>
      </c>
      <c r="O3" s="85" t="s">
        <v>71</v>
      </c>
      <c r="P3" s="85" t="s">
        <v>72</v>
      </c>
      <c r="Q3" s="85" t="s">
        <v>71</v>
      </c>
      <c r="R3" s="85" t="s">
        <v>72</v>
      </c>
      <c r="S3" s="85" t="s">
        <v>71</v>
      </c>
    </row>
    <row r="4" spans="1:19">
      <c r="A4" s="84">
        <v>0</v>
      </c>
      <c r="B4" s="84">
        <v>0</v>
      </c>
      <c r="C4" s="28"/>
      <c r="D4" s="28">
        <v>1.043405394930279E-2</v>
      </c>
      <c r="E4" s="28"/>
      <c r="F4" s="28">
        <v>0</v>
      </c>
      <c r="G4" s="28"/>
      <c r="H4" s="28">
        <v>1.043405394930279E-2</v>
      </c>
      <c r="I4" s="28">
        <v>2.1944519525574781E-2</v>
      </c>
      <c r="J4" s="28">
        <v>1.0395295072365789E-2</v>
      </c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84">
        <v>1</v>
      </c>
      <c r="B5" s="84">
        <v>4</v>
      </c>
      <c r="C5" s="95">
        <v>-0.11518235000824913</v>
      </c>
      <c r="D5" s="28">
        <v>2.8137888283480943E-2</v>
      </c>
      <c r="E5" s="95">
        <v>0</v>
      </c>
      <c r="F5" s="28">
        <v>0</v>
      </c>
      <c r="G5" s="95">
        <v>-0.11518235000824913</v>
      </c>
      <c r="H5" s="28">
        <v>2.8137888283480943E-2</v>
      </c>
      <c r="I5" s="12">
        <f>R5</f>
        <v>0.10659816939878605</v>
      </c>
      <c r="J5" s="12">
        <f>S5</f>
        <v>3.0850917722516632E-2</v>
      </c>
      <c r="K5" s="12"/>
      <c r="L5" s="12">
        <f>SUM(C$4:C5)</f>
        <v>-0.11518235000824913</v>
      </c>
      <c r="M5" s="28">
        <v>3.0010168924393198E-2</v>
      </c>
      <c r="N5" s="12">
        <f>SUM(E$4:E5)</f>
        <v>0</v>
      </c>
      <c r="O5" s="28">
        <v>0</v>
      </c>
      <c r="P5" s="28">
        <v>-0.11518235000824913</v>
      </c>
      <c r="Q5" s="28">
        <v>3.0010168924393198E-2</v>
      </c>
      <c r="R5" s="28">
        <v>0.10659816939878605</v>
      </c>
      <c r="S5" s="28">
        <v>3.0850917722516632E-2</v>
      </c>
    </row>
    <row r="6" spans="1:19">
      <c r="A6" s="84">
        <v>2</v>
      </c>
      <c r="B6" s="84">
        <v>8</v>
      </c>
      <c r="C6" s="28">
        <v>-0.15596989732460351</v>
      </c>
      <c r="D6" s="28">
        <v>3.9710114964897091E-2</v>
      </c>
      <c r="E6" s="28">
        <v>1.4131238819033637E-4</v>
      </c>
      <c r="F6" s="28">
        <v>3.2633474020327705E-4</v>
      </c>
      <c r="G6" s="28">
        <v>-0.15582858493641316</v>
      </c>
      <c r="H6" s="28">
        <v>3.9711455839442696E-2</v>
      </c>
      <c r="I6" s="12">
        <f t="shared" ref="I6:I19" si="0">R6</f>
        <v>0.26700232490932874</v>
      </c>
      <c r="J6" s="12">
        <f t="shared" ref="J6:J19" si="1">S6</f>
        <v>6.291882498002084E-2</v>
      </c>
      <c r="K6" s="12"/>
      <c r="L6" s="12">
        <f>SUM(C$4:C6)</f>
        <v>-0.27115224733285265</v>
      </c>
      <c r="M6" s="28">
        <v>4.9774526310111269E-2</v>
      </c>
      <c r="N6" s="12">
        <f>SUM(E$4:E6)</f>
        <v>1.4131238819033637E-4</v>
      </c>
      <c r="O6" s="28">
        <v>3.2633474020327705E-4</v>
      </c>
      <c r="P6" s="28">
        <v>-0.27101093494466227</v>
      </c>
      <c r="Q6" s="28">
        <v>4.9775596066331772E-2</v>
      </c>
      <c r="R6" s="28">
        <v>0.26700232490932874</v>
      </c>
      <c r="S6" s="28">
        <v>6.291882498002084E-2</v>
      </c>
    </row>
    <row r="7" spans="1:19">
      <c r="A7" s="84">
        <v>3</v>
      </c>
      <c r="B7" s="84">
        <v>12</v>
      </c>
      <c r="C7" s="28">
        <v>-0.19894546186316281</v>
      </c>
      <c r="D7" s="28">
        <v>5.2085162590566378E-2</v>
      </c>
      <c r="E7" s="28">
        <v>1.0168398392957984E-2</v>
      </c>
      <c r="F7" s="28">
        <v>8.3739074932656938E-3</v>
      </c>
      <c r="G7" s="28">
        <v>-0.18877706347020481</v>
      </c>
      <c r="H7" s="28">
        <v>5.2754018698024388E-2</v>
      </c>
      <c r="I7" s="12">
        <f t="shared" si="0"/>
        <v>0.49643239845883369</v>
      </c>
      <c r="J7" s="12">
        <f t="shared" si="1"/>
        <v>0.12865934277221849</v>
      </c>
      <c r="K7" s="12"/>
      <c r="L7" s="12">
        <f>SUM(C$4:C7)</f>
        <v>-0.47009770919601546</v>
      </c>
      <c r="M7" s="28">
        <v>7.2044206092382573E-2</v>
      </c>
      <c r="N7" s="12">
        <f>SUM(E$4:E7)</f>
        <v>1.0309710781148321E-2</v>
      </c>
      <c r="O7" s="28">
        <v>8.3802637827478255E-3</v>
      </c>
      <c r="P7" s="28">
        <v>-0.45978799841486706</v>
      </c>
      <c r="Q7" s="28">
        <v>7.2529969340612094E-2</v>
      </c>
      <c r="R7" s="28">
        <v>0.49643239845883369</v>
      </c>
      <c r="S7" s="28">
        <v>0.12865934277221849</v>
      </c>
    </row>
    <row r="8" spans="1:19">
      <c r="A8" s="84">
        <v>4</v>
      </c>
      <c r="B8" s="84">
        <v>16</v>
      </c>
      <c r="C8" s="28">
        <v>-0.18358682085909508</v>
      </c>
      <c r="D8" s="28">
        <v>3.4080408923954919E-2</v>
      </c>
      <c r="E8" s="28">
        <v>4.1127161571208923E-2</v>
      </c>
      <c r="F8" s="28">
        <v>4.0236738173345568E-2</v>
      </c>
      <c r="G8" s="28">
        <v>-0.14245965928788618</v>
      </c>
      <c r="H8" s="28">
        <v>5.2730156184619355E-2</v>
      </c>
      <c r="I8" s="12">
        <f t="shared" si="0"/>
        <v>0.6860477892942678</v>
      </c>
      <c r="J8" s="12">
        <f t="shared" si="1"/>
        <v>0.16778369990568387</v>
      </c>
      <c r="K8" s="12"/>
      <c r="L8" s="12">
        <f>SUM(C$4:C8)</f>
        <v>-0.65368453005511051</v>
      </c>
      <c r="M8" s="28">
        <v>7.9698443547573009E-2</v>
      </c>
      <c r="N8" s="12">
        <f>SUM(E$4:E8)</f>
        <v>5.1436872352357242E-2</v>
      </c>
      <c r="O8" s="28">
        <v>4.1100169341485679E-2</v>
      </c>
      <c r="P8" s="28">
        <v>-0.60224765770275324</v>
      </c>
      <c r="Q8" s="28">
        <v>8.967199018536659E-2</v>
      </c>
      <c r="R8" s="28">
        <v>0.6860477892942678</v>
      </c>
      <c r="S8" s="28">
        <v>0.16778369990568387</v>
      </c>
    </row>
    <row r="9" spans="1:19">
      <c r="A9" s="84">
        <v>5</v>
      </c>
      <c r="B9" s="84">
        <v>20</v>
      </c>
      <c r="C9" s="28">
        <v>-0.12713637714980333</v>
      </c>
      <c r="D9" s="28">
        <v>3.9100549758848684E-2</v>
      </c>
      <c r="E9" s="28">
        <v>6.2869906154450705E-2</v>
      </c>
      <c r="F9" s="28">
        <v>3.1208595450072166E-2</v>
      </c>
      <c r="G9" s="28">
        <v>-6.4266470995352626E-2</v>
      </c>
      <c r="H9" s="28">
        <v>5.0028286213006208E-2</v>
      </c>
      <c r="I9" s="12">
        <f t="shared" si="0"/>
        <v>0.82698154050269324</v>
      </c>
      <c r="J9" s="12">
        <f t="shared" si="1"/>
        <v>0.1943693928392681</v>
      </c>
      <c r="K9" s="12"/>
      <c r="L9" s="12">
        <f>SUM(C$4:C9)</f>
        <v>-0.78082090720491382</v>
      </c>
      <c r="M9" s="28">
        <v>8.8773278047788021E-2</v>
      </c>
      <c r="N9" s="12">
        <f>SUM(E$4:E9)</f>
        <v>0.11430677850680795</v>
      </c>
      <c r="O9" s="28">
        <v>5.1606204567523316E-2</v>
      </c>
      <c r="P9" s="28">
        <v>-0.66651412869810589</v>
      </c>
      <c r="Q9" s="28">
        <v>0.10268347113929753</v>
      </c>
      <c r="R9" s="28">
        <v>0.82698154050269324</v>
      </c>
      <c r="S9" s="28">
        <v>0.1943693928392681</v>
      </c>
    </row>
    <row r="10" spans="1:19">
      <c r="A10" s="84">
        <v>6</v>
      </c>
      <c r="B10" s="84">
        <v>24</v>
      </c>
      <c r="C10" s="28">
        <v>-8.7499648700029825E-2</v>
      </c>
      <c r="D10" s="28">
        <v>2.7070257340333123E-2</v>
      </c>
      <c r="E10" s="28">
        <v>8.6306939540561081E-2</v>
      </c>
      <c r="F10" s="28">
        <v>3.8027590113435837E-2</v>
      </c>
      <c r="G10" s="28">
        <v>-1.1927091594687439E-3</v>
      </c>
      <c r="H10" s="28">
        <v>4.6678650819270071E-2</v>
      </c>
      <c r="I10" s="12">
        <f t="shared" si="0"/>
        <v>0.9395577860228832</v>
      </c>
      <c r="J10" s="12">
        <f t="shared" si="1"/>
        <v>0.2135532938338309</v>
      </c>
      <c r="K10" s="12"/>
      <c r="L10" s="12">
        <f>SUM(C$4:C10)</f>
        <v>-0.86832055590494361</v>
      </c>
      <c r="M10" s="28">
        <v>9.2808909743740342E-2</v>
      </c>
      <c r="N10" s="12">
        <f>SUM(E$4:E10)</f>
        <v>0.20061371804736905</v>
      </c>
      <c r="O10" s="28">
        <v>6.4103806124913898E-2</v>
      </c>
      <c r="P10" s="28">
        <v>-0.66770683785757468</v>
      </c>
      <c r="Q10" s="28">
        <v>0.11279535312911738</v>
      </c>
      <c r="R10" s="28">
        <v>0.9395577860228832</v>
      </c>
      <c r="S10" s="28">
        <v>0.2135532938338309</v>
      </c>
    </row>
    <row r="11" spans="1:19">
      <c r="A11" s="84">
        <v>7</v>
      </c>
      <c r="B11" s="84">
        <v>28</v>
      </c>
      <c r="C11" s="28">
        <v>-5.2397605720407234E-2</v>
      </c>
      <c r="D11" s="28">
        <v>2.2566107919326079E-2</v>
      </c>
      <c r="E11" s="28">
        <v>0.12831938656216288</v>
      </c>
      <c r="F11" s="28">
        <v>4.1357850373441467E-2</v>
      </c>
      <c r="G11" s="28">
        <v>7.5921780841755646E-2</v>
      </c>
      <c r="H11" s="28">
        <v>4.7113703039971755E-2</v>
      </c>
      <c r="I11" s="12">
        <f t="shared" si="0"/>
        <v>0.99273251199783052</v>
      </c>
      <c r="J11" s="12">
        <f t="shared" si="1"/>
        <v>0.23004839957067455</v>
      </c>
      <c r="K11" s="12"/>
      <c r="L11" s="12">
        <f>SUM(C$4:C11)</f>
        <v>-0.92071816162535081</v>
      </c>
      <c r="M11" s="28">
        <v>9.5512946527936252E-2</v>
      </c>
      <c r="N11" s="12">
        <f>SUM(E$4:E11)</f>
        <v>0.32893310460953196</v>
      </c>
      <c r="O11" s="28">
        <v>7.6287415392137389E-2</v>
      </c>
      <c r="P11" s="28">
        <v>-0.59178505701581907</v>
      </c>
      <c r="Q11" s="28">
        <v>0.12223948912549061</v>
      </c>
      <c r="R11" s="28">
        <v>0.99273251199783052</v>
      </c>
      <c r="S11" s="28">
        <v>0.23004839957067455</v>
      </c>
    </row>
    <row r="12" spans="1:19">
      <c r="A12" s="84">
        <v>8</v>
      </c>
      <c r="B12" s="84">
        <v>32</v>
      </c>
      <c r="C12" s="28">
        <v>-3.8644542835761485E-2</v>
      </c>
      <c r="D12" s="28">
        <v>1.6692949935410272E-2</v>
      </c>
      <c r="E12" s="28">
        <v>0.1507992821103353</v>
      </c>
      <c r="F12" s="28">
        <v>4.4261005729065113E-2</v>
      </c>
      <c r="G12" s="28">
        <v>0.11215473927457381</v>
      </c>
      <c r="H12" s="28">
        <v>4.7304240884876787E-2</v>
      </c>
      <c r="I12" s="12">
        <f t="shared" si="0"/>
        <v>1.0139480925577264</v>
      </c>
      <c r="J12" s="12">
        <f t="shared" si="1"/>
        <v>0.25027587218110398</v>
      </c>
      <c r="K12" s="12"/>
      <c r="L12" s="12">
        <f>SUM(C$4:C12)</f>
        <v>-0.95936270446111227</v>
      </c>
      <c r="M12" s="28">
        <v>9.6960700966909896E-2</v>
      </c>
      <c r="N12" s="12">
        <f>SUM(E$4:E12)</f>
        <v>0.47973238671986729</v>
      </c>
      <c r="O12" s="28">
        <v>8.8197541776179098E-2</v>
      </c>
      <c r="P12" s="28">
        <v>-0.47963031774124526</v>
      </c>
      <c r="Q12" s="28">
        <v>0.13107320056882485</v>
      </c>
      <c r="R12" s="28">
        <v>1.0139480925577264</v>
      </c>
      <c r="S12" s="28">
        <v>0.25027587218110398</v>
      </c>
    </row>
    <row r="13" spans="1:19">
      <c r="A13" s="84">
        <v>9</v>
      </c>
      <c r="B13" s="84">
        <v>36</v>
      </c>
      <c r="C13" s="28">
        <v>-2.0007475439452572E-2</v>
      </c>
      <c r="D13" s="28">
        <v>1.0355969225315119E-2</v>
      </c>
      <c r="E13" s="28">
        <v>0.16586890769293389</v>
      </c>
      <c r="F13" s="28">
        <v>4.8344953573966176E-2</v>
      </c>
      <c r="G13" s="28">
        <v>0.1458614322534813</v>
      </c>
      <c r="H13" s="28">
        <v>4.9441689237571758E-2</v>
      </c>
      <c r="I13" s="12">
        <f t="shared" si="0"/>
        <v>0.97084216466979323</v>
      </c>
      <c r="J13" s="12">
        <f t="shared" si="1"/>
        <v>0.25833195078949184</v>
      </c>
      <c r="K13" s="12"/>
      <c r="L13" s="12">
        <f>SUM(C$4:C13)</f>
        <v>-0.97937017990056485</v>
      </c>
      <c r="M13" s="28">
        <v>9.7512171704819475E-2</v>
      </c>
      <c r="N13" s="12">
        <f>SUM(E$4:E13)</f>
        <v>0.64560129441280112</v>
      </c>
      <c r="O13" s="28">
        <v>0.10057853106617635</v>
      </c>
      <c r="P13" s="28">
        <v>-0.33376888548776396</v>
      </c>
      <c r="Q13" s="28">
        <v>0.1400880599552296</v>
      </c>
      <c r="R13" s="28">
        <v>0.97084216466979323</v>
      </c>
      <c r="S13" s="28">
        <v>0.25833195078949184</v>
      </c>
    </row>
    <row r="14" spans="1:19">
      <c r="A14" s="84">
        <v>10</v>
      </c>
      <c r="B14" s="84">
        <v>40</v>
      </c>
      <c r="C14" s="28">
        <v>-8.4820409994002307E-3</v>
      </c>
      <c r="D14" s="28">
        <v>6.2623683598397421E-3</v>
      </c>
      <c r="E14" s="28">
        <v>0.16659242508222027</v>
      </c>
      <c r="F14" s="28">
        <v>5.4701978644196687E-2</v>
      </c>
      <c r="G14" s="28">
        <v>0.15811038408282005</v>
      </c>
      <c r="H14" s="28">
        <v>5.5059274650729573E-2</v>
      </c>
      <c r="I14" s="12">
        <f t="shared" si="0"/>
        <v>0.89305728153290864</v>
      </c>
      <c r="J14" s="12">
        <f t="shared" si="1"/>
        <v>0.26693549267733219</v>
      </c>
      <c r="K14" s="12"/>
      <c r="L14" s="12">
        <f>SUM(C$4:C14)</f>
        <v>-0.98785222089996505</v>
      </c>
      <c r="M14" s="28">
        <v>9.7713053826315954E-2</v>
      </c>
      <c r="N14" s="12">
        <f>SUM(E$4:E14)</f>
        <v>0.81219371949502139</v>
      </c>
      <c r="O14" s="28">
        <v>0.11449169130998089</v>
      </c>
      <c r="P14" s="28">
        <v>-0.17565850140494391</v>
      </c>
      <c r="Q14" s="28">
        <v>0.1505197271691803</v>
      </c>
      <c r="R14" s="28">
        <v>0.89305728153290864</v>
      </c>
      <c r="S14" s="28">
        <v>0.26693549267733219</v>
      </c>
    </row>
    <row r="15" spans="1:19">
      <c r="A15" s="84">
        <v>11</v>
      </c>
      <c r="B15" s="84">
        <v>44</v>
      </c>
      <c r="C15" s="28">
        <v>-6.5848683102837282E-3</v>
      </c>
      <c r="D15" s="28">
        <v>5.3428117846948172E-3</v>
      </c>
      <c r="E15" s="28">
        <v>0.14363168805023904</v>
      </c>
      <c r="F15" s="28">
        <v>4.5114140825569804E-2</v>
      </c>
      <c r="G15" s="28">
        <v>0.13704681973995531</v>
      </c>
      <c r="H15" s="28">
        <v>4.5429410520014653E-2</v>
      </c>
      <c r="I15" s="12">
        <f t="shared" si="0"/>
        <v>0.80919076132721335</v>
      </c>
      <c r="J15" s="12">
        <f t="shared" si="1"/>
        <v>0.27159505176377924</v>
      </c>
      <c r="K15" s="12"/>
      <c r="L15" s="12">
        <f>SUM(C$4:C15)</f>
        <v>-0.99443708921024876</v>
      </c>
      <c r="M15" s="28">
        <v>9.7859013513478629E-2</v>
      </c>
      <c r="N15" s="12">
        <f>SUM(E$4:E15)</f>
        <v>0.95582540754526046</v>
      </c>
      <c r="O15" s="28">
        <v>0.12305946969432828</v>
      </c>
      <c r="P15" s="28">
        <v>-3.8611681664988601E-2</v>
      </c>
      <c r="Q15" s="28">
        <v>0.15722601441008574</v>
      </c>
      <c r="R15" s="28">
        <v>0.80919076132721335</v>
      </c>
      <c r="S15" s="28">
        <v>0.27159505176377924</v>
      </c>
    </row>
    <row r="16" spans="1:19">
      <c r="A16" s="84">
        <v>12</v>
      </c>
      <c r="B16" s="84">
        <v>48</v>
      </c>
      <c r="C16" s="28">
        <v>-3.9228015358179855E-3</v>
      </c>
      <c r="D16" s="28">
        <v>3.8001831015982042E-3</v>
      </c>
      <c r="E16" s="28">
        <v>0.12512296640168652</v>
      </c>
      <c r="F16" s="28">
        <v>4.1352045771785383E-2</v>
      </c>
      <c r="G16" s="28">
        <v>0.12120016486586853</v>
      </c>
      <c r="H16" s="28">
        <v>4.1526293852419648E-2</v>
      </c>
      <c r="I16" s="12">
        <f t="shared" si="0"/>
        <v>0.71837628281534438</v>
      </c>
      <c r="J16" s="12">
        <f t="shared" si="1"/>
        <v>0.27711438070562516</v>
      </c>
      <c r="K16" s="12"/>
      <c r="L16" s="12">
        <f>SUM(C$4:C16)</f>
        <v>-0.99835989074606679</v>
      </c>
      <c r="M16" s="28">
        <v>9.7932772438223487E-2</v>
      </c>
      <c r="N16" s="12">
        <f>SUM(E$4:E16)</f>
        <v>1.080948373946947</v>
      </c>
      <c r="O16" s="28">
        <v>0.12982151120273225</v>
      </c>
      <c r="P16" s="28">
        <v>8.2588483200879928E-2</v>
      </c>
      <c r="Q16" s="28">
        <v>0.16261750424969015</v>
      </c>
      <c r="R16" s="28">
        <v>0.71837628281534438</v>
      </c>
      <c r="S16" s="28">
        <v>0.27711438070562516</v>
      </c>
    </row>
    <row r="17" spans="1:21">
      <c r="A17" s="84">
        <v>13</v>
      </c>
      <c r="B17" s="84">
        <v>52</v>
      </c>
      <c r="C17" s="28">
        <v>-2.2704789325289181E-3</v>
      </c>
      <c r="D17" s="28">
        <v>3.3912334160253088E-3</v>
      </c>
      <c r="E17" s="28">
        <v>0.11114850705811313</v>
      </c>
      <c r="F17" s="28">
        <v>3.4146072278080752E-2</v>
      </c>
      <c r="G17" s="28">
        <v>0.10887802812558421</v>
      </c>
      <c r="H17" s="28">
        <v>3.4314060035237473E-2</v>
      </c>
      <c r="I17" s="12">
        <f t="shared" si="0"/>
        <v>0.63724882892228507</v>
      </c>
      <c r="J17" s="12">
        <f t="shared" si="1"/>
        <v>0.27995750495908489</v>
      </c>
      <c r="K17" s="12"/>
      <c r="L17" s="12">
        <f>SUM(C$4:C17)</f>
        <v>-1.0006303696785956</v>
      </c>
      <c r="M17" s="28">
        <v>9.79914709631345E-2</v>
      </c>
      <c r="N17" s="12">
        <f>SUM(E$4:E17)</f>
        <v>1.1920968810050601</v>
      </c>
      <c r="O17" s="28">
        <v>0.13423702552940098</v>
      </c>
      <c r="P17" s="28">
        <v>0.19146651132646414</v>
      </c>
      <c r="Q17" s="28">
        <v>0.16619839771941208</v>
      </c>
      <c r="R17" s="28">
        <v>0.63724882892228507</v>
      </c>
      <c r="S17" s="28">
        <v>0.27995750495908489</v>
      </c>
    </row>
    <row r="18" spans="1:21">
      <c r="A18" s="84">
        <v>14</v>
      </c>
      <c r="B18" s="84">
        <v>56</v>
      </c>
      <c r="C18" s="28">
        <v>-2.7543278754954808E-3</v>
      </c>
      <c r="D18" s="28">
        <v>3.2376902127559922E-3</v>
      </c>
      <c r="E18" s="28">
        <v>8.5385945735093144E-2</v>
      </c>
      <c r="F18" s="28">
        <v>3.0044004501955563E-2</v>
      </c>
      <c r="G18" s="28">
        <v>8.2631617859597661E-2</v>
      </c>
      <c r="H18" s="28">
        <v>3.0217955662607324E-2</v>
      </c>
      <c r="I18" s="12">
        <f t="shared" si="0"/>
        <v>0.57623795384598975</v>
      </c>
      <c r="J18" s="12">
        <f t="shared" si="1"/>
        <v>0.2816997296613708</v>
      </c>
      <c r="K18" s="12"/>
      <c r="L18" s="12">
        <f>SUM(C$4:C18)</f>
        <v>-1.0033846975540912</v>
      </c>
      <c r="M18" s="28">
        <v>9.8044943874901619E-2</v>
      </c>
      <c r="N18" s="12">
        <f>SUM(E$4:E18)</f>
        <v>1.2774828267401532</v>
      </c>
      <c r="O18" s="28">
        <v>0.13755806493802744</v>
      </c>
      <c r="P18" s="28">
        <v>0.2740981291860618</v>
      </c>
      <c r="Q18" s="28">
        <v>0.16892315486317197</v>
      </c>
      <c r="R18" s="28">
        <v>0.57623795384598975</v>
      </c>
      <c r="S18" s="28">
        <v>0.2816997296613708</v>
      </c>
      <c r="U18" s="88" t="s">
        <v>78</v>
      </c>
    </row>
    <row r="19" spans="1:21">
      <c r="A19" s="84">
        <v>15</v>
      </c>
      <c r="B19" s="84">
        <v>60</v>
      </c>
      <c r="C19" s="28">
        <v>-3.0602363248428289E-3</v>
      </c>
      <c r="D19" s="28">
        <v>4.0304518933890606E-3</v>
      </c>
      <c r="E19" s="28">
        <v>6.8126262970186036E-2</v>
      </c>
      <c r="F19" s="28">
        <v>2.6882296098124571E-2</v>
      </c>
      <c r="G19" s="28">
        <v>6.5066026645343208E-2</v>
      </c>
      <c r="H19" s="28">
        <v>2.718275898381485E-2</v>
      </c>
      <c r="I19" s="12">
        <f t="shared" si="0"/>
        <v>0.51694478627946894</v>
      </c>
      <c r="J19" s="12">
        <f t="shared" si="1"/>
        <v>0.28223835463837998</v>
      </c>
      <c r="K19" s="12"/>
      <c r="L19" s="12">
        <f>SUM(C$4:C19)</f>
        <v>-1.0064449338789341</v>
      </c>
      <c r="M19" s="28">
        <v>9.8127751232245874E-2</v>
      </c>
      <c r="N19" s="12">
        <f>SUM(E$4:E19)</f>
        <v>1.3456090897103392</v>
      </c>
      <c r="O19" s="28">
        <v>0.1401601907568687</v>
      </c>
      <c r="P19" s="28">
        <v>0.33916415583140502</v>
      </c>
      <c r="Q19" s="28">
        <v>0.1710962730011947</v>
      </c>
      <c r="R19" s="28">
        <v>0.51694478627946894</v>
      </c>
      <c r="S19" s="28">
        <v>0.28223835463837998</v>
      </c>
      <c r="U19" s="89">
        <f>(N19+R19)/L19</f>
        <v>-1.8506267092143325</v>
      </c>
    </row>
  </sheetData>
  <mergeCells count="8">
    <mergeCell ref="R2:S2"/>
    <mergeCell ref="G2:H2"/>
    <mergeCell ref="P2:Q2"/>
    <mergeCell ref="C2:D2"/>
    <mergeCell ref="E2:F2"/>
    <mergeCell ref="I2:J2"/>
    <mergeCell ref="L2:M2"/>
    <mergeCell ref="N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B8FC-E022-4AB6-A42E-EC8E3B998D95}">
  <sheetPr codeName="Sheet7"/>
  <dimension ref="A1:U19"/>
  <sheetViews>
    <sheetView workbookViewId="0">
      <selection activeCell="D4" sqref="D4"/>
    </sheetView>
  </sheetViews>
  <sheetFormatPr defaultRowHeight="15"/>
  <cols>
    <col min="1" max="20" width="9.140625" style="84"/>
    <col min="21" max="21" width="12.28515625" style="84" bestFit="1" customWidth="1"/>
    <col min="22" max="16384" width="9.140625" style="84"/>
  </cols>
  <sheetData>
    <row r="1" spans="1:19">
      <c r="C1" s="87" t="s">
        <v>26</v>
      </c>
      <c r="D1" s="87"/>
      <c r="E1" s="87"/>
      <c r="F1" s="87"/>
      <c r="G1" s="87"/>
      <c r="H1" s="87"/>
      <c r="I1" s="87"/>
      <c r="J1" s="87"/>
      <c r="L1" s="87" t="s">
        <v>25</v>
      </c>
      <c r="M1" s="87"/>
      <c r="N1" s="87"/>
      <c r="O1" s="87"/>
      <c r="P1" s="87"/>
      <c r="Q1" s="87"/>
      <c r="R1" s="87"/>
      <c r="S1" s="87"/>
    </row>
    <row r="2" spans="1:19">
      <c r="C2" s="143" t="s">
        <v>77</v>
      </c>
      <c r="D2" s="143"/>
      <c r="E2" s="143" t="s">
        <v>76</v>
      </c>
      <c r="F2" s="143"/>
      <c r="G2" s="143" t="s">
        <v>80</v>
      </c>
      <c r="H2" s="143"/>
      <c r="I2" s="143" t="s">
        <v>75</v>
      </c>
      <c r="J2" s="143"/>
      <c r="L2" s="143" t="s">
        <v>81</v>
      </c>
      <c r="M2" s="143"/>
      <c r="N2" s="143" t="s">
        <v>82</v>
      </c>
      <c r="O2" s="143"/>
      <c r="P2" s="143" t="s">
        <v>83</v>
      </c>
      <c r="Q2" s="143"/>
      <c r="R2" s="143" t="s">
        <v>84</v>
      </c>
      <c r="S2" s="143"/>
    </row>
    <row r="3" spans="1:19">
      <c r="A3" s="84" t="s">
        <v>74</v>
      </c>
      <c r="B3" s="84" t="s">
        <v>73</v>
      </c>
      <c r="C3" s="85" t="s">
        <v>72</v>
      </c>
      <c r="D3" s="85" t="s">
        <v>71</v>
      </c>
      <c r="E3" s="85" t="s">
        <v>72</v>
      </c>
      <c r="F3" s="85" t="s">
        <v>71</v>
      </c>
      <c r="G3" s="85" t="s">
        <v>72</v>
      </c>
      <c r="H3" s="85" t="s">
        <v>71</v>
      </c>
      <c r="I3" s="85" t="s">
        <v>72</v>
      </c>
      <c r="J3" s="85" t="s">
        <v>71</v>
      </c>
      <c r="L3" s="85" t="s">
        <v>72</v>
      </c>
      <c r="M3" s="85" t="s">
        <v>71</v>
      </c>
      <c r="N3" s="85" t="s">
        <v>72</v>
      </c>
      <c r="O3" s="85" t="s">
        <v>71</v>
      </c>
      <c r="P3" s="85" t="s">
        <v>72</v>
      </c>
      <c r="Q3" s="85" t="s">
        <v>71</v>
      </c>
      <c r="R3" s="85" t="s">
        <v>72</v>
      </c>
      <c r="S3" s="85" t="s">
        <v>71</v>
      </c>
    </row>
    <row r="4" spans="1:19">
      <c r="A4" s="84">
        <v>0</v>
      </c>
      <c r="B4" s="84">
        <v>0</v>
      </c>
      <c r="C4" s="28"/>
      <c r="D4" s="28">
        <v>0</v>
      </c>
      <c r="E4" s="28"/>
      <c r="F4" s="28">
        <v>0</v>
      </c>
      <c r="G4" s="28"/>
      <c r="H4" s="28">
        <v>0</v>
      </c>
      <c r="I4" s="28">
        <v>0</v>
      </c>
      <c r="J4" s="28">
        <v>0</v>
      </c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84">
        <v>1</v>
      </c>
      <c r="B5" s="84">
        <v>4</v>
      </c>
      <c r="C5" s="95">
        <v>-4.0860416703739633E-2</v>
      </c>
      <c r="D5" s="28">
        <v>2.727915199816516E-2</v>
      </c>
      <c r="E5" s="95">
        <v>8.0788819798104214E-4</v>
      </c>
      <c r="F5" s="28">
        <v>2.1310926345630039E-3</v>
      </c>
      <c r="G5" s="95">
        <v>-4.0052528505758592E-2</v>
      </c>
      <c r="H5" s="28">
        <v>2.7362267624524234E-2</v>
      </c>
      <c r="I5" s="12">
        <f>R5</f>
        <v>4.6285790271121743E-2</v>
      </c>
      <c r="J5" s="12">
        <f>S5</f>
        <v>3.1204142328747891E-2</v>
      </c>
      <c r="K5" s="12"/>
      <c r="L5" s="12">
        <f>SUM(C$4:C5)</f>
        <v>-4.0860416703739633E-2</v>
      </c>
      <c r="M5" s="28">
        <v>2.727915199816516E-2</v>
      </c>
      <c r="N5" s="12">
        <f>SUM(E$4:E5)</f>
        <v>8.0788819798104214E-4</v>
      </c>
      <c r="O5" s="28">
        <v>2.1310926345630039E-3</v>
      </c>
      <c r="P5" s="28">
        <v>-4.0052528505758592E-2</v>
      </c>
      <c r="Q5" s="28">
        <v>2.7362267624524234E-2</v>
      </c>
      <c r="R5" s="28">
        <v>4.6285790271121743E-2</v>
      </c>
      <c r="S5" s="28">
        <v>3.1204142328747891E-2</v>
      </c>
    </row>
    <row r="6" spans="1:19">
      <c r="A6" s="84">
        <v>2</v>
      </c>
      <c r="B6" s="84">
        <v>8</v>
      </c>
      <c r="C6" s="28">
        <v>-0.22985411750164625</v>
      </c>
      <c r="D6" s="28">
        <v>8.3940951084669702E-2</v>
      </c>
      <c r="E6" s="28">
        <v>3.1443995845583092E-2</v>
      </c>
      <c r="F6" s="28">
        <v>1.936688013168179E-2</v>
      </c>
      <c r="G6" s="28">
        <v>-0.19841012165606314</v>
      </c>
      <c r="H6" s="28">
        <v>8.6146150900860585E-2</v>
      </c>
      <c r="I6" s="12">
        <f t="shared" ref="I6:I19" si="0">R6</f>
        <v>0.30324856974231629</v>
      </c>
      <c r="J6" s="12">
        <f t="shared" ref="J6:J19" si="1">S6</f>
        <v>9.7869627647437493E-2</v>
      </c>
      <c r="K6" s="12"/>
      <c r="L6" s="12">
        <f>SUM(C$4:C6)</f>
        <v>-0.27071453420538588</v>
      </c>
      <c r="M6" s="28">
        <v>8.8262310205080796E-2</v>
      </c>
      <c r="N6" s="12">
        <f>SUM(E$4:E6)</f>
        <v>3.2251884043564133E-2</v>
      </c>
      <c r="O6" s="28">
        <v>1.9483777915281716E-2</v>
      </c>
      <c r="P6" s="28">
        <v>-0.23846265016182172</v>
      </c>
      <c r="Q6" s="28">
        <v>9.0387239168977451E-2</v>
      </c>
      <c r="R6" s="28">
        <v>0.30324856974231629</v>
      </c>
      <c r="S6" s="28">
        <v>9.7869627647437493E-2</v>
      </c>
    </row>
    <row r="7" spans="1:19">
      <c r="A7" s="84">
        <v>3</v>
      </c>
      <c r="B7" s="84">
        <v>12</v>
      </c>
      <c r="C7" s="28">
        <v>-0.22004610813928591</v>
      </c>
      <c r="D7" s="28">
        <v>8.3433655719055699E-2</v>
      </c>
      <c r="E7" s="28">
        <v>8.697615953968138E-2</v>
      </c>
      <c r="F7" s="28">
        <v>3.2718792748676812E-2</v>
      </c>
      <c r="G7" s="28">
        <v>-0.13306994859960453</v>
      </c>
      <c r="H7" s="28">
        <v>8.9619720517176246E-2</v>
      </c>
      <c r="I7" s="12">
        <f t="shared" si="0"/>
        <v>0.52996946355366148</v>
      </c>
      <c r="J7" s="12">
        <f t="shared" si="1"/>
        <v>0.15783216543754741</v>
      </c>
      <c r="K7" s="12"/>
      <c r="L7" s="12">
        <f>SUM(C$4:C7)</f>
        <v>-0.49076064234467176</v>
      </c>
      <c r="M7" s="28">
        <v>0.12145538402797887</v>
      </c>
      <c r="N7" s="12">
        <f>SUM(E$4:E7)</f>
        <v>0.11922804358324551</v>
      </c>
      <c r="O7" s="28">
        <v>3.808066439523982E-2</v>
      </c>
      <c r="P7" s="28">
        <v>-0.37153259876142625</v>
      </c>
      <c r="Q7" s="28">
        <v>0.1272852988768409</v>
      </c>
      <c r="R7" s="28">
        <v>0.52996946355366148</v>
      </c>
      <c r="S7" s="28">
        <v>0.15783216543754741</v>
      </c>
    </row>
    <row r="8" spans="1:19">
      <c r="A8" s="84">
        <v>4</v>
      </c>
      <c r="B8" s="84">
        <v>16</v>
      </c>
      <c r="C8" s="28">
        <v>-0.13934470709261362</v>
      </c>
      <c r="D8" s="28">
        <v>6.3932024756194555E-2</v>
      </c>
      <c r="E8" s="28">
        <v>0.1256078510365374</v>
      </c>
      <c r="F8" s="28">
        <v>4.8046242426363323E-2</v>
      </c>
      <c r="G8" s="28">
        <v>-1.3736856056076219E-2</v>
      </c>
      <c r="H8" s="28">
        <v>7.9973403083272304E-2</v>
      </c>
      <c r="I8" s="12">
        <f t="shared" si="0"/>
        <v>0.6357272387095424</v>
      </c>
      <c r="J8" s="12">
        <f t="shared" si="1"/>
        <v>0.18162406816094948</v>
      </c>
      <c r="K8" s="12"/>
      <c r="L8" s="12">
        <f>SUM(C$4:C8)</f>
        <v>-0.63010534943728536</v>
      </c>
      <c r="M8" s="28">
        <v>0.13725419519566789</v>
      </c>
      <c r="N8" s="12">
        <f>SUM(E$4:E8)</f>
        <v>0.24483589461978292</v>
      </c>
      <c r="O8" s="28">
        <v>6.1307245999765482E-2</v>
      </c>
      <c r="P8" s="28">
        <v>-0.38526945481750247</v>
      </c>
      <c r="Q8" s="28">
        <v>0.15032395853917052</v>
      </c>
      <c r="R8" s="28">
        <v>0.6357272387095424</v>
      </c>
      <c r="S8" s="28">
        <v>0.18162406816094948</v>
      </c>
    </row>
    <row r="9" spans="1:19">
      <c r="A9" s="84">
        <v>5</v>
      </c>
      <c r="B9" s="84">
        <v>20</v>
      </c>
      <c r="C9" s="28">
        <v>-9.2832714177705805E-2</v>
      </c>
      <c r="D9" s="28">
        <v>4.9514528360654578E-2</v>
      </c>
      <c r="E9" s="28">
        <v>0.14850654546319458</v>
      </c>
      <c r="F9" s="28">
        <v>5.0006566235916518E-2</v>
      </c>
      <c r="G9" s="28">
        <v>5.5673831285488778E-2</v>
      </c>
      <c r="H9" s="28">
        <v>7.0372900931290117E-2</v>
      </c>
      <c r="I9" s="12">
        <f t="shared" si="0"/>
        <v>0.65114096038133074</v>
      </c>
      <c r="J9" s="12">
        <f t="shared" si="1"/>
        <v>0.20839511818554268</v>
      </c>
      <c r="K9" s="12"/>
      <c r="L9" s="12">
        <f>SUM(C$4:C9)</f>
        <v>-0.72293806361499113</v>
      </c>
      <c r="M9" s="28">
        <v>0.14591231139827979</v>
      </c>
      <c r="N9" s="12">
        <f>SUM(E$4:E9)</f>
        <v>0.39334244008297747</v>
      </c>
      <c r="O9" s="28">
        <v>7.9115327710772107E-2</v>
      </c>
      <c r="P9" s="28">
        <v>-0.32959562353201366</v>
      </c>
      <c r="Q9" s="28">
        <v>0.16598083532857469</v>
      </c>
      <c r="R9" s="28">
        <v>0.65114096038133074</v>
      </c>
      <c r="S9" s="28">
        <v>0.20839511818554268</v>
      </c>
    </row>
    <row r="10" spans="1:19">
      <c r="A10" s="84">
        <v>6</v>
      </c>
      <c r="B10" s="84">
        <v>24</v>
      </c>
      <c r="C10" s="28">
        <v>-3.4017743920154601E-2</v>
      </c>
      <c r="D10" s="28">
        <v>3.3728532065270544E-2</v>
      </c>
      <c r="E10" s="28">
        <v>0.20621845846282008</v>
      </c>
      <c r="F10" s="28">
        <v>0.10590086236951071</v>
      </c>
      <c r="G10" s="28">
        <v>0.17220071454266547</v>
      </c>
      <c r="H10" s="28">
        <v>0.11114228055013102</v>
      </c>
      <c r="I10" s="12">
        <f t="shared" si="0"/>
        <v>0.57299200561493546</v>
      </c>
      <c r="J10" s="12">
        <f t="shared" si="1"/>
        <v>0.22425920851333364</v>
      </c>
      <c r="K10" s="12"/>
      <c r="L10" s="12">
        <f>SUM(C$4:C10)</f>
        <v>-0.75695580753514569</v>
      </c>
      <c r="M10" s="28">
        <v>0.14975986275656958</v>
      </c>
      <c r="N10" s="12">
        <f>SUM(E$4:E10)</f>
        <v>0.59956089854579753</v>
      </c>
      <c r="O10" s="28">
        <v>0.13219011963603375</v>
      </c>
      <c r="P10" s="28">
        <v>-0.15739490898934819</v>
      </c>
      <c r="Q10" s="28">
        <v>0.19975546105740252</v>
      </c>
      <c r="R10" s="28">
        <v>0.57299200561493546</v>
      </c>
      <c r="S10" s="28">
        <v>0.22425920851333364</v>
      </c>
    </row>
    <row r="11" spans="1:19">
      <c r="A11" s="84">
        <v>7</v>
      </c>
      <c r="B11" s="84">
        <v>28</v>
      </c>
      <c r="C11" s="28">
        <v>-2.3389240765613543E-2</v>
      </c>
      <c r="D11" s="28">
        <v>2.249962116312822E-2</v>
      </c>
      <c r="E11" s="28">
        <v>0.13904744132317717</v>
      </c>
      <c r="F11" s="28">
        <v>5.456947037049463E-2</v>
      </c>
      <c r="G11" s="28">
        <v>0.11565820055756362</v>
      </c>
      <c r="H11" s="28">
        <v>5.9025926921994022E-2</v>
      </c>
      <c r="I11" s="12">
        <f t="shared" si="0"/>
        <v>0.4887410881798876</v>
      </c>
      <c r="J11" s="12">
        <f t="shared" si="1"/>
        <v>0.23338132042598475</v>
      </c>
      <c r="K11" s="12"/>
      <c r="L11" s="12">
        <f>SUM(C$4:C11)</f>
        <v>-0.78034504830075924</v>
      </c>
      <c r="M11" s="28">
        <v>0.15144058057651141</v>
      </c>
      <c r="N11" s="12">
        <f>SUM(E$4:E11)</f>
        <v>0.73860833986897467</v>
      </c>
      <c r="O11" s="28">
        <v>0.14301068081057863</v>
      </c>
      <c r="P11" s="28">
        <v>-4.1736708431784564E-2</v>
      </c>
      <c r="Q11" s="28">
        <v>0.20829379316546145</v>
      </c>
      <c r="R11" s="28">
        <v>0.4887410881798876</v>
      </c>
      <c r="S11" s="28">
        <v>0.23338132042598475</v>
      </c>
    </row>
    <row r="12" spans="1:19">
      <c r="A12" s="84">
        <v>8</v>
      </c>
      <c r="B12" s="84">
        <v>32</v>
      </c>
      <c r="C12" s="28">
        <v>-5.9198721345089713E-3</v>
      </c>
      <c r="D12" s="28">
        <v>8.1031617304584986E-3</v>
      </c>
      <c r="E12" s="28">
        <v>0.13732685047008716</v>
      </c>
      <c r="F12" s="28">
        <v>7.8677127248509435E-2</v>
      </c>
      <c r="G12" s="28">
        <v>0.13140697833557818</v>
      </c>
      <c r="H12" s="28">
        <v>7.909330933845235E-2</v>
      </c>
      <c r="I12" s="12">
        <f t="shared" si="0"/>
        <v>0.38330053521494212</v>
      </c>
      <c r="J12" s="12">
        <f t="shared" si="1"/>
        <v>0.23932414086999021</v>
      </c>
      <c r="K12" s="12"/>
      <c r="L12" s="12">
        <f>SUM(C$4:C12)</f>
        <v>-0.78626492043526819</v>
      </c>
      <c r="M12" s="28">
        <v>0.15165721438619667</v>
      </c>
      <c r="N12" s="12">
        <f>SUM(E$4:E12)</f>
        <v>0.87593519033906186</v>
      </c>
      <c r="O12" s="28">
        <v>0.16322421749845625</v>
      </c>
      <c r="P12" s="28">
        <v>8.967026990379362E-2</v>
      </c>
      <c r="Q12" s="28">
        <v>0.22280497268545008</v>
      </c>
      <c r="R12" s="28">
        <v>0.38330053521494212</v>
      </c>
      <c r="S12" s="28">
        <v>0.23932414086999021</v>
      </c>
    </row>
    <row r="13" spans="1:19">
      <c r="A13" s="84">
        <v>9</v>
      </c>
      <c r="B13" s="84">
        <v>36</v>
      </c>
      <c r="C13" s="28">
        <v>-6.5856017238842563E-3</v>
      </c>
      <c r="D13" s="28">
        <v>8.5705754349012456E-3</v>
      </c>
      <c r="E13" s="28">
        <v>0.11249535424223651</v>
      </c>
      <c r="F13" s="28">
        <v>6.6106977078932108E-2</v>
      </c>
      <c r="G13" s="28">
        <v>0.10590975251835226</v>
      </c>
      <c r="H13" s="28">
        <v>6.6660236886766228E-2</v>
      </c>
      <c r="I13" s="12">
        <f t="shared" si="0"/>
        <v>0.32645179133766156</v>
      </c>
      <c r="J13" s="12">
        <f t="shared" si="1"/>
        <v>0.24535362511459138</v>
      </c>
      <c r="K13" s="12"/>
      <c r="L13" s="12">
        <f>SUM(C$4:C13)</f>
        <v>-0.79285052215915242</v>
      </c>
      <c r="M13" s="28">
        <v>0.1518991949901847</v>
      </c>
      <c r="N13" s="12">
        <f>SUM(E$4:E13)</f>
        <v>0.98843054458129842</v>
      </c>
      <c r="O13" s="28">
        <v>0.17610303119622275</v>
      </c>
      <c r="P13" s="28">
        <v>0.19558002242214589</v>
      </c>
      <c r="Q13" s="28">
        <v>0.23256320223793778</v>
      </c>
      <c r="R13" s="28">
        <v>0.32645179133766156</v>
      </c>
      <c r="S13" s="28">
        <v>0.24535362511459138</v>
      </c>
    </row>
    <row r="14" spans="1:19">
      <c r="A14" s="84">
        <v>10</v>
      </c>
      <c r="B14" s="84">
        <v>40</v>
      </c>
      <c r="C14" s="28">
        <v>-4.2685731864987326E-3</v>
      </c>
      <c r="D14" s="28">
        <v>6.3608003621523886E-3</v>
      </c>
      <c r="E14" s="28">
        <v>5.8688196836320747E-2</v>
      </c>
      <c r="F14" s="28">
        <v>2.9339363637568863E-2</v>
      </c>
      <c r="G14" s="28">
        <v>5.4419623649822016E-2</v>
      </c>
      <c r="H14" s="28">
        <v>3.0020960009710815E-2</v>
      </c>
      <c r="I14" s="12">
        <f t="shared" si="0"/>
        <v>0.2446882666144333</v>
      </c>
      <c r="J14" s="12">
        <f t="shared" si="1"/>
        <v>0.24706400754845542</v>
      </c>
      <c r="K14" s="12"/>
      <c r="L14" s="12">
        <f>SUM(C$4:C14)</f>
        <v>-0.79711909534565117</v>
      </c>
      <c r="M14" s="28">
        <v>0.15203231636699255</v>
      </c>
      <c r="N14" s="12">
        <f>SUM(E$4:E14)</f>
        <v>1.0471187414176191</v>
      </c>
      <c r="O14" s="28">
        <v>0.17853032194883675</v>
      </c>
      <c r="P14" s="28">
        <v>0.2499996460719679</v>
      </c>
      <c r="Q14" s="28">
        <v>0.23449285932639527</v>
      </c>
      <c r="R14" s="28">
        <v>0.2446882666144333</v>
      </c>
      <c r="S14" s="28">
        <v>0.24706400754845542</v>
      </c>
    </row>
    <row r="15" spans="1:19">
      <c r="A15" s="84">
        <v>11</v>
      </c>
      <c r="B15" s="84">
        <v>44</v>
      </c>
      <c r="C15" s="28">
        <v>-1.1529261043066541E-3</v>
      </c>
      <c r="D15" s="28">
        <v>2.7775010317569815E-3</v>
      </c>
      <c r="E15" s="28">
        <v>7.036994757329304E-2</v>
      </c>
      <c r="F15" s="28">
        <v>2.5594968966449607E-2</v>
      </c>
      <c r="G15" s="28">
        <v>6.9217021468986381E-2</v>
      </c>
      <c r="H15" s="28">
        <v>2.5745231565766302E-2</v>
      </c>
      <c r="I15" s="12">
        <f t="shared" si="0"/>
        <v>0.19101052580967276</v>
      </c>
      <c r="J15" s="12">
        <f t="shared" si="1"/>
        <v>0.24865102470759071</v>
      </c>
      <c r="K15" s="12"/>
      <c r="L15" s="12">
        <f>SUM(C$4:C15)</f>
        <v>-0.79827202144995779</v>
      </c>
      <c r="M15" s="28">
        <v>0.15205768554037222</v>
      </c>
      <c r="N15" s="12">
        <f>SUM(E$4:E15)</f>
        <v>1.1174886889909121</v>
      </c>
      <c r="O15" s="28">
        <v>0.1803556993597619</v>
      </c>
      <c r="P15" s="28">
        <v>0.31921666754095429</v>
      </c>
      <c r="Q15" s="28">
        <v>0.23590192458613712</v>
      </c>
      <c r="R15" s="28">
        <v>0.19101052580967276</v>
      </c>
      <c r="S15" s="28">
        <v>0.24865102470759071</v>
      </c>
    </row>
    <row r="16" spans="1:19">
      <c r="A16" s="84">
        <v>12</v>
      </c>
      <c r="B16" s="84">
        <v>48</v>
      </c>
      <c r="C16" s="28">
        <v>-1.03198713366684E-4</v>
      </c>
      <c r="D16" s="28">
        <v>2.9189004012523609E-4</v>
      </c>
      <c r="E16" s="28">
        <v>6.6001273251788672E-2</v>
      </c>
      <c r="F16" s="28">
        <v>6.8460225234978772E-2</v>
      </c>
      <c r="G16" s="28">
        <v>6.5898074538421988E-2</v>
      </c>
      <c r="H16" s="28">
        <v>6.8460847489784621E-2</v>
      </c>
      <c r="I16" s="12">
        <f t="shared" si="0"/>
        <v>0.12897805686289421</v>
      </c>
      <c r="J16" s="12">
        <f t="shared" si="1"/>
        <v>0.25042397462591204</v>
      </c>
      <c r="K16" s="12"/>
      <c r="L16" s="12">
        <f>SUM(C$4:C16)</f>
        <v>-0.79837522016332452</v>
      </c>
      <c r="M16" s="28">
        <v>0.1520579656962773</v>
      </c>
      <c r="N16" s="12">
        <f>SUM(E$4:E16)</f>
        <v>1.1834899622427009</v>
      </c>
      <c r="O16" s="28">
        <v>0.1929118470461906</v>
      </c>
      <c r="P16" s="28">
        <v>0.38511474207937629</v>
      </c>
      <c r="Q16" s="28">
        <v>0.2456351067385586</v>
      </c>
      <c r="R16" s="28">
        <v>0.12897805686289421</v>
      </c>
      <c r="S16" s="28">
        <v>0.25042397462591204</v>
      </c>
    </row>
    <row r="17" spans="1:21">
      <c r="A17" s="84">
        <v>13</v>
      </c>
      <c r="B17" s="84">
        <v>52</v>
      </c>
      <c r="C17" s="28">
        <v>-1.031987133666978E-4</v>
      </c>
      <c r="D17" s="28">
        <v>2.9189004012527528E-4</v>
      </c>
      <c r="E17" s="28">
        <v>4.0139693497898747E-2</v>
      </c>
      <c r="F17" s="28">
        <v>2.8704002519640816E-2</v>
      </c>
      <c r="G17" s="28">
        <v>4.0036494784532049E-2</v>
      </c>
      <c r="H17" s="28">
        <v>2.8705486591295931E-2</v>
      </c>
      <c r="I17" s="12">
        <f t="shared" si="0"/>
        <v>9.3570447331561418E-2</v>
      </c>
      <c r="J17" s="12">
        <f t="shared" si="1"/>
        <v>0.25087493942298977</v>
      </c>
      <c r="K17" s="12"/>
      <c r="L17" s="12">
        <f>SUM(C$4:C17)</f>
        <v>-0.79847841887669124</v>
      </c>
      <c r="M17" s="28">
        <v>0.15205824585166622</v>
      </c>
      <c r="N17" s="12">
        <f>SUM(E$4:E17)</f>
        <v>1.2236296557405997</v>
      </c>
      <c r="O17" s="28">
        <v>0.19503563902892307</v>
      </c>
      <c r="P17" s="28">
        <v>0.42515123686390832</v>
      </c>
      <c r="Q17" s="28">
        <v>0.24730671366322859</v>
      </c>
      <c r="R17" s="28">
        <v>9.3570447331561418E-2</v>
      </c>
      <c r="S17" s="28">
        <v>0.25087493942298977</v>
      </c>
    </row>
    <row r="18" spans="1:21">
      <c r="A18" s="84">
        <v>14</v>
      </c>
      <c r="B18" s="84">
        <v>56</v>
      </c>
      <c r="C18" s="28">
        <v>0</v>
      </c>
      <c r="D18" s="28">
        <v>0</v>
      </c>
      <c r="E18" s="28">
        <v>4.4733829957098653E-2</v>
      </c>
      <c r="F18" s="28">
        <v>6.5526628042363047E-2</v>
      </c>
      <c r="G18" s="28">
        <v>4.4733829957098653E-2</v>
      </c>
      <c r="H18" s="28">
        <v>6.5526628042363047E-2</v>
      </c>
      <c r="I18" s="12">
        <f t="shared" si="0"/>
        <v>5.2560068166653998E-2</v>
      </c>
      <c r="J18" s="12">
        <f t="shared" si="1"/>
        <v>0.25218052278453917</v>
      </c>
      <c r="K18" s="12"/>
      <c r="L18" s="12">
        <f>SUM(C$4:C18)</f>
        <v>-0.79847841887669124</v>
      </c>
      <c r="M18" s="28">
        <v>0.15205824585166622</v>
      </c>
      <c r="N18" s="12">
        <f>SUM(E$4:E18)</f>
        <v>1.2683634856976984</v>
      </c>
      <c r="O18" s="28">
        <v>0.20574897198776615</v>
      </c>
      <c r="P18" s="28">
        <v>0.46988506682100695</v>
      </c>
      <c r="Q18" s="28">
        <v>0.25584047687085859</v>
      </c>
      <c r="R18" s="28">
        <v>5.2560068166653998E-2</v>
      </c>
      <c r="S18" s="28">
        <v>0.25218052278453917</v>
      </c>
      <c r="U18" s="88" t="s">
        <v>78</v>
      </c>
    </row>
    <row r="19" spans="1:21">
      <c r="A19" s="84">
        <v>15</v>
      </c>
      <c r="B19" s="84">
        <v>60</v>
      </c>
      <c r="C19" s="28">
        <v>0</v>
      </c>
      <c r="D19" s="28">
        <v>0</v>
      </c>
      <c r="E19" s="28">
        <v>2.3737265012058716E-2</v>
      </c>
      <c r="F19" s="28">
        <v>1.8683092739481579E-2</v>
      </c>
      <c r="G19" s="28">
        <v>2.3737265012058716E-2</v>
      </c>
      <c r="H19" s="28">
        <v>1.8683092739481579E-2</v>
      </c>
      <c r="I19" s="12">
        <f t="shared" si="0"/>
        <v>2.8304102799237008E-2</v>
      </c>
      <c r="J19" s="12">
        <f t="shared" si="1"/>
        <v>0.25261830052764156</v>
      </c>
      <c r="K19" s="12"/>
      <c r="L19" s="12">
        <f>SUM(C$4:C19)</f>
        <v>-0.79847841887669124</v>
      </c>
      <c r="M19" s="28">
        <v>0.15205824585166622</v>
      </c>
      <c r="N19" s="12">
        <f>SUM(E$4:E19)</f>
        <v>1.2921007507097571</v>
      </c>
      <c r="O19" s="28">
        <v>0.20659549227496385</v>
      </c>
      <c r="P19" s="28">
        <v>0.49362233183306564</v>
      </c>
      <c r="Q19" s="28">
        <v>0.25652174870724004</v>
      </c>
      <c r="R19" s="28">
        <v>2.8304102799237008E-2</v>
      </c>
      <c r="S19" s="28">
        <v>0.25261830052764156</v>
      </c>
      <c r="U19" s="89">
        <f>(N19+R19)/L19</f>
        <v>-1.6536512725873731</v>
      </c>
    </row>
  </sheetData>
  <mergeCells count="8">
    <mergeCell ref="R2:S2"/>
    <mergeCell ref="G2:H2"/>
    <mergeCell ref="P2:Q2"/>
    <mergeCell ref="C2:D2"/>
    <mergeCell ref="E2:F2"/>
    <mergeCell ref="I2:J2"/>
    <mergeCell ref="L2:M2"/>
    <mergeCell ref="N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58B6-92F0-4BD1-B5CF-B7054070F862}">
  <sheetPr codeName="Sheet8"/>
  <dimension ref="A1:U19"/>
  <sheetViews>
    <sheetView workbookViewId="0">
      <selection activeCell="D4" sqref="D4"/>
    </sheetView>
  </sheetViews>
  <sheetFormatPr defaultRowHeight="15"/>
  <cols>
    <col min="1" max="20" width="9.140625" style="84"/>
    <col min="21" max="21" width="12.28515625" style="84" bestFit="1" customWidth="1"/>
    <col min="22" max="16384" width="9.140625" style="84"/>
  </cols>
  <sheetData>
    <row r="1" spans="1:19">
      <c r="C1" s="87" t="s">
        <v>26</v>
      </c>
      <c r="D1" s="87"/>
      <c r="E1" s="87"/>
      <c r="F1" s="87"/>
      <c r="G1" s="87"/>
      <c r="H1" s="87"/>
      <c r="I1" s="87"/>
      <c r="J1" s="87"/>
      <c r="L1" s="87" t="s">
        <v>25</v>
      </c>
      <c r="M1" s="87"/>
      <c r="N1" s="87"/>
      <c r="O1" s="87"/>
      <c r="P1" s="87"/>
      <c r="Q1" s="87"/>
      <c r="R1" s="87"/>
      <c r="S1" s="87"/>
    </row>
    <row r="2" spans="1:19">
      <c r="C2" s="143" t="s">
        <v>77</v>
      </c>
      <c r="D2" s="143"/>
      <c r="E2" s="143" t="s">
        <v>76</v>
      </c>
      <c r="F2" s="143"/>
      <c r="G2" s="143" t="s">
        <v>80</v>
      </c>
      <c r="H2" s="143"/>
      <c r="I2" s="143" t="s">
        <v>75</v>
      </c>
      <c r="J2" s="143"/>
      <c r="L2" s="143" t="s">
        <v>81</v>
      </c>
      <c r="M2" s="143"/>
      <c r="N2" s="143" t="s">
        <v>82</v>
      </c>
      <c r="O2" s="143"/>
      <c r="P2" s="143" t="s">
        <v>83</v>
      </c>
      <c r="Q2" s="143"/>
      <c r="R2" s="143" t="s">
        <v>84</v>
      </c>
      <c r="S2" s="143"/>
    </row>
    <row r="3" spans="1:19">
      <c r="A3" s="84" t="s">
        <v>74</v>
      </c>
      <c r="B3" s="84" t="s">
        <v>73</v>
      </c>
      <c r="C3" s="85" t="s">
        <v>72</v>
      </c>
      <c r="D3" s="85" t="s">
        <v>71</v>
      </c>
      <c r="E3" s="85" t="s">
        <v>72</v>
      </c>
      <c r="F3" s="85" t="s">
        <v>71</v>
      </c>
      <c r="G3" s="85" t="s">
        <v>72</v>
      </c>
      <c r="H3" s="85" t="s">
        <v>71</v>
      </c>
      <c r="I3" s="85" t="s">
        <v>72</v>
      </c>
      <c r="J3" s="85" t="s">
        <v>71</v>
      </c>
      <c r="L3" s="85" t="s">
        <v>72</v>
      </c>
      <c r="M3" s="85" t="s">
        <v>71</v>
      </c>
      <c r="N3" s="85" t="s">
        <v>72</v>
      </c>
      <c r="O3" s="85" t="s">
        <v>71</v>
      </c>
      <c r="P3" s="85" t="s">
        <v>72</v>
      </c>
      <c r="Q3" s="85" t="s">
        <v>71</v>
      </c>
      <c r="R3" s="85" t="s">
        <v>72</v>
      </c>
      <c r="S3" s="85" t="s">
        <v>71</v>
      </c>
    </row>
    <row r="4" spans="1:19">
      <c r="A4" s="84">
        <v>0</v>
      </c>
      <c r="B4" s="84">
        <v>0</v>
      </c>
      <c r="C4" s="28"/>
      <c r="D4" s="28">
        <v>1.355766631239399E-2</v>
      </c>
      <c r="E4" s="28"/>
      <c r="F4" s="28">
        <v>0</v>
      </c>
      <c r="G4" s="28"/>
      <c r="H4" s="28">
        <v>1.355766631239399E-2</v>
      </c>
      <c r="I4" s="28">
        <v>6.5126715885835421E-2</v>
      </c>
      <c r="J4" s="28">
        <v>1.3816840354704931E-2</v>
      </c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84">
        <v>1</v>
      </c>
      <c r="B5" s="84">
        <v>4</v>
      </c>
      <c r="C5" s="95">
        <v>-0.37125726034871048</v>
      </c>
      <c r="D5" s="28">
        <v>0.17547037359284245</v>
      </c>
      <c r="E5" s="95">
        <v>4.3827019789385109E-4</v>
      </c>
      <c r="F5" s="28">
        <v>1.1806753302863525E-3</v>
      </c>
      <c r="G5" s="95">
        <v>-0.37081899015081665</v>
      </c>
      <c r="H5" s="28">
        <v>0.17547434571197937</v>
      </c>
      <c r="I5" s="12">
        <f>R5</f>
        <v>0.37048636366857679</v>
      </c>
      <c r="J5" s="12">
        <f>S5</f>
        <v>0.17592882076218183</v>
      </c>
      <c r="K5" s="12"/>
      <c r="L5" s="12">
        <f>SUM(C$4:C5)</f>
        <v>-0.37125726034871048</v>
      </c>
      <c r="M5" s="28">
        <v>0.17599335875154473</v>
      </c>
      <c r="N5" s="12">
        <f>SUM(E$4:E5)</f>
        <v>4.3827019789385109E-4</v>
      </c>
      <c r="O5" s="28">
        <v>1.1806753302863525E-3</v>
      </c>
      <c r="P5" s="28">
        <v>-0.37081899015081665</v>
      </c>
      <c r="Q5" s="28">
        <v>0.17599731906732408</v>
      </c>
      <c r="R5" s="28">
        <v>0.37048636366857679</v>
      </c>
      <c r="S5" s="28">
        <v>0.17592882076218183</v>
      </c>
    </row>
    <row r="6" spans="1:19">
      <c r="A6" s="84">
        <v>2</v>
      </c>
      <c r="B6" s="84">
        <v>8</v>
      </c>
      <c r="C6" s="28">
        <v>-0.27091778056307636</v>
      </c>
      <c r="D6" s="28">
        <v>9.1655110006593335E-2</v>
      </c>
      <c r="E6" s="28">
        <v>1.3354959403187592E-2</v>
      </c>
      <c r="F6" s="28">
        <v>1.1407957596698619E-2</v>
      </c>
      <c r="G6" s="28">
        <v>-0.25756282115988877</v>
      </c>
      <c r="H6" s="28">
        <v>9.2362333701833235E-2</v>
      </c>
      <c r="I6" s="12">
        <f t="shared" ref="I6:I19" si="0">R6</f>
        <v>0.64017424884219498</v>
      </c>
      <c r="J6" s="12">
        <f t="shared" ref="J6:J19" si="1">S6</f>
        <v>0.19459297821381538</v>
      </c>
      <c r="K6" s="12"/>
      <c r="L6" s="12">
        <f>SUM(C$4:C6)</f>
        <v>-0.64217504091178679</v>
      </c>
      <c r="M6" s="28">
        <v>0.19842963870090238</v>
      </c>
      <c r="N6" s="12">
        <f>SUM(E$4:E6)</f>
        <v>1.3793229601081444E-2</v>
      </c>
      <c r="O6" s="28">
        <v>1.146889230761282E-2</v>
      </c>
      <c r="P6" s="28">
        <v>-0.62838181131070536</v>
      </c>
      <c r="Q6" s="28">
        <v>0.19876080349438688</v>
      </c>
      <c r="R6" s="28">
        <v>0.64017424884219498</v>
      </c>
      <c r="S6" s="28">
        <v>0.19459297821381538</v>
      </c>
    </row>
    <row r="7" spans="1:19">
      <c r="A7" s="84">
        <v>3</v>
      </c>
      <c r="B7" s="84">
        <v>12</v>
      </c>
      <c r="C7" s="28">
        <v>-0.21663077498159711</v>
      </c>
      <c r="D7" s="28">
        <v>9.2003810989495602E-2</v>
      </c>
      <c r="E7" s="28">
        <v>5.4661027092483411E-2</v>
      </c>
      <c r="F7" s="28">
        <v>3.6050981356386687E-2</v>
      </c>
      <c r="G7" s="28">
        <v>-0.1619697478891137</v>
      </c>
      <c r="H7" s="28">
        <v>9.881484955890675E-2</v>
      </c>
      <c r="I7" s="12">
        <f t="shared" si="0"/>
        <v>0.87148167098049567</v>
      </c>
      <c r="J7" s="12">
        <f t="shared" si="1"/>
        <v>0.2205159481640028</v>
      </c>
      <c r="K7" s="12"/>
      <c r="L7" s="12">
        <f>SUM(C$4:C7)</f>
        <v>-0.85880581589338389</v>
      </c>
      <c r="M7" s="28">
        <v>0.21872133583983408</v>
      </c>
      <c r="N7" s="12">
        <f>SUM(E$4:E7)</f>
        <v>6.8454256693564849E-2</v>
      </c>
      <c r="O7" s="28">
        <v>3.7831319664031825E-2</v>
      </c>
      <c r="P7" s="28">
        <v>-0.79035155919981903</v>
      </c>
      <c r="Q7" s="28">
        <v>0.22196898769666823</v>
      </c>
      <c r="R7" s="28">
        <v>0.87148167098049567</v>
      </c>
      <c r="S7" s="28">
        <v>0.2205159481640028</v>
      </c>
    </row>
    <row r="8" spans="1:19">
      <c r="A8" s="84">
        <v>4</v>
      </c>
      <c r="B8" s="84">
        <v>16</v>
      </c>
      <c r="C8" s="28">
        <v>-0.13433655851769544</v>
      </c>
      <c r="D8" s="28">
        <v>7.3872054175653706E-2</v>
      </c>
      <c r="E8" s="28">
        <v>0.15937685492948087</v>
      </c>
      <c r="F8" s="28">
        <v>9.6415238831752834E-2</v>
      </c>
      <c r="G8" s="28">
        <v>2.5040296411785429E-2</v>
      </c>
      <c r="H8" s="28">
        <v>0.12146184037431121</v>
      </c>
      <c r="I8" s="12">
        <f t="shared" si="0"/>
        <v>0.89281352390368574</v>
      </c>
      <c r="J8" s="12">
        <f t="shared" si="1"/>
        <v>0.24689109645487575</v>
      </c>
      <c r="K8" s="12"/>
      <c r="L8" s="12">
        <f>SUM(C$4:C8)</f>
        <v>-0.99314237441107933</v>
      </c>
      <c r="M8" s="28">
        <v>0.23085948787020258</v>
      </c>
      <c r="N8" s="12">
        <f>SUM(E$4:E8)</f>
        <v>0.2278311116230457</v>
      </c>
      <c r="O8" s="28">
        <v>0.10357174820628499</v>
      </c>
      <c r="P8" s="28">
        <v>-0.76531126278803363</v>
      </c>
      <c r="Q8" s="28">
        <v>0.25302808177393732</v>
      </c>
      <c r="R8" s="28">
        <v>0.89281352390368574</v>
      </c>
      <c r="S8" s="28">
        <v>0.24689109645487575</v>
      </c>
    </row>
    <row r="9" spans="1:19">
      <c r="A9" s="84">
        <v>5</v>
      </c>
      <c r="B9" s="84">
        <v>20</v>
      </c>
      <c r="C9" s="28">
        <v>-5.1948180907728653E-2</v>
      </c>
      <c r="D9" s="28">
        <v>4.7012135111073154E-2</v>
      </c>
      <c r="E9" s="28">
        <v>0.22966288893440179</v>
      </c>
      <c r="F9" s="28">
        <v>0.1116460746184901</v>
      </c>
      <c r="G9" s="28">
        <v>0.17771470802667313</v>
      </c>
      <c r="H9" s="28">
        <v>0.1211403600185308</v>
      </c>
      <c r="I9" s="12">
        <f t="shared" si="0"/>
        <v>0.823022021104729</v>
      </c>
      <c r="J9" s="12">
        <f t="shared" si="1"/>
        <v>0.26945780160938138</v>
      </c>
      <c r="K9" s="12"/>
      <c r="L9" s="12">
        <f>SUM(C$4:C9)</f>
        <v>-1.0450905553188079</v>
      </c>
      <c r="M9" s="28">
        <v>0.23559763154028948</v>
      </c>
      <c r="N9" s="12">
        <f>SUM(E$4:E9)</f>
        <v>0.45749400055744749</v>
      </c>
      <c r="O9" s="28">
        <v>0.15228904426853418</v>
      </c>
      <c r="P9" s="28">
        <v>-0.58759655476136052</v>
      </c>
      <c r="Q9" s="28">
        <v>0.28053198924831652</v>
      </c>
      <c r="R9" s="28">
        <v>0.823022021104729</v>
      </c>
      <c r="S9" s="28">
        <v>0.26945780160938138</v>
      </c>
    </row>
    <row r="10" spans="1:19">
      <c r="A10" s="84">
        <v>6</v>
      </c>
      <c r="B10" s="84">
        <v>24</v>
      </c>
      <c r="C10" s="28">
        <v>-1.4898922260705339E-2</v>
      </c>
      <c r="D10" s="28">
        <v>1.6464215475961934E-2</v>
      </c>
      <c r="E10" s="28">
        <v>0.20917092266611417</v>
      </c>
      <c r="F10" s="28">
        <v>9.6252542748371195E-2</v>
      </c>
      <c r="G10" s="28">
        <v>0.19427200040540885</v>
      </c>
      <c r="H10" s="28">
        <v>9.7650511400432141E-2</v>
      </c>
      <c r="I10" s="12">
        <f t="shared" si="0"/>
        <v>0.69073090166968443</v>
      </c>
      <c r="J10" s="12">
        <f t="shared" si="1"/>
        <v>0.28181055331897459</v>
      </c>
      <c r="K10" s="12"/>
      <c r="L10" s="12">
        <f>SUM(C$4:C10)</f>
        <v>-1.0599894775795133</v>
      </c>
      <c r="M10" s="28">
        <v>0.23617221339233138</v>
      </c>
      <c r="N10" s="12">
        <f>SUM(E$4:E10)</f>
        <v>0.66666492322356163</v>
      </c>
      <c r="O10" s="28">
        <v>0.18015688993138892</v>
      </c>
      <c r="P10" s="28">
        <v>-0.39332455435595171</v>
      </c>
      <c r="Q10" s="28">
        <v>0.29704178050971802</v>
      </c>
      <c r="R10" s="28">
        <v>0.69073090166968443</v>
      </c>
      <c r="S10" s="28">
        <v>0.28181055331897459</v>
      </c>
    </row>
    <row r="11" spans="1:19">
      <c r="A11" s="84">
        <v>7</v>
      </c>
      <c r="B11" s="84">
        <v>28</v>
      </c>
      <c r="C11" s="28">
        <v>-9.9439715338062121E-3</v>
      </c>
      <c r="D11" s="28">
        <v>1.5758547591590441E-2</v>
      </c>
      <c r="E11" s="28">
        <v>0.17658074478574698</v>
      </c>
      <c r="F11" s="28">
        <v>7.2353989610686731E-2</v>
      </c>
      <c r="G11" s="28">
        <v>0.16663677325194076</v>
      </c>
      <c r="H11" s="28">
        <v>7.4050196723437434E-2</v>
      </c>
      <c r="I11" s="12">
        <f t="shared" si="0"/>
        <v>0.52321255449640125</v>
      </c>
      <c r="J11" s="12">
        <f t="shared" si="1"/>
        <v>0.30596858143108085</v>
      </c>
      <c r="K11" s="12"/>
      <c r="L11" s="12">
        <f>SUM(C$4:C11)</f>
        <v>-1.0699334491133194</v>
      </c>
      <c r="M11" s="28">
        <v>0.23669737261074389</v>
      </c>
      <c r="N11" s="12">
        <f>SUM(E$4:E11)</f>
        <v>0.84324566800930856</v>
      </c>
      <c r="O11" s="28">
        <v>0.19414325845193273</v>
      </c>
      <c r="P11" s="28">
        <v>-0.22668778110401094</v>
      </c>
      <c r="Q11" s="28">
        <v>0.30613273428884286</v>
      </c>
      <c r="R11" s="28">
        <v>0.52321255449640125</v>
      </c>
      <c r="S11" s="28">
        <v>0.30596858143108085</v>
      </c>
    </row>
    <row r="12" spans="1:19">
      <c r="A12" s="84">
        <v>8</v>
      </c>
      <c r="B12" s="84">
        <v>32</v>
      </c>
      <c r="C12" s="28">
        <v>-7.5933170216023671E-3</v>
      </c>
      <c r="D12" s="28">
        <v>1.0474864865940443E-2</v>
      </c>
      <c r="E12" s="28">
        <v>0.14735002722908364</v>
      </c>
      <c r="F12" s="28">
        <v>9.4940207116398084E-2</v>
      </c>
      <c r="G12" s="28">
        <v>0.13975671020748126</v>
      </c>
      <c r="H12" s="28">
        <v>9.5516311283802613E-2</v>
      </c>
      <c r="I12" s="12">
        <f t="shared" si="0"/>
        <v>0.40661538180217843</v>
      </c>
      <c r="J12" s="12">
        <f t="shared" si="1"/>
        <v>0.31948403298028272</v>
      </c>
      <c r="K12" s="12"/>
      <c r="L12" s="12">
        <f>SUM(C$4:C12)</f>
        <v>-1.0775267661349217</v>
      </c>
      <c r="M12" s="28">
        <v>0.23692903788853961</v>
      </c>
      <c r="N12" s="12">
        <f>SUM(E$4:E12)</f>
        <v>0.99059569523839219</v>
      </c>
      <c r="O12" s="28">
        <v>0.21611396930702675</v>
      </c>
      <c r="P12" s="28">
        <v>-8.6931070896529683E-2</v>
      </c>
      <c r="Q12" s="28">
        <v>0.32068772462385825</v>
      </c>
      <c r="R12" s="28">
        <v>0.40661538180217843</v>
      </c>
      <c r="S12" s="28">
        <v>0.31948403298028272</v>
      </c>
    </row>
    <row r="13" spans="1:19">
      <c r="A13" s="84">
        <v>9</v>
      </c>
      <c r="B13" s="84">
        <v>36</v>
      </c>
      <c r="C13" s="28">
        <v>-2.9661239559296087E-3</v>
      </c>
      <c r="D13" s="28">
        <v>3.827170294743058E-3</v>
      </c>
      <c r="E13" s="28">
        <v>7.0826551078847805E-2</v>
      </c>
      <c r="F13" s="28">
        <v>4.4545728404897622E-2</v>
      </c>
      <c r="G13" s="28">
        <v>6.786042712291819E-2</v>
      </c>
      <c r="H13" s="28">
        <v>4.4709832828896449E-2</v>
      </c>
      <c r="I13" s="12">
        <f t="shared" si="0"/>
        <v>0.32150022827019292</v>
      </c>
      <c r="J13" s="12">
        <f t="shared" si="1"/>
        <v>0.32257863313631063</v>
      </c>
      <c r="K13" s="12"/>
      <c r="L13" s="12">
        <f>SUM(C$4:C13)</f>
        <v>-1.0804928900908513</v>
      </c>
      <c r="M13" s="28">
        <v>0.236959946461958</v>
      </c>
      <c r="N13" s="12">
        <f>SUM(E$4:E13)</f>
        <v>1.06142224631724</v>
      </c>
      <c r="O13" s="28">
        <v>0.22065713142511711</v>
      </c>
      <c r="P13" s="28">
        <v>-1.9070643773611493E-2</v>
      </c>
      <c r="Q13" s="28">
        <v>0.32378941594192884</v>
      </c>
      <c r="R13" s="28">
        <v>0.32150022827019292</v>
      </c>
      <c r="S13" s="28">
        <v>0.32257863313631063</v>
      </c>
    </row>
    <row r="14" spans="1:19">
      <c r="A14" s="84">
        <v>10</v>
      </c>
      <c r="B14" s="84">
        <v>40</v>
      </c>
      <c r="C14" s="28">
        <v>-1.5379618047194131E-3</v>
      </c>
      <c r="D14" s="28">
        <v>4.3078691342127908E-3</v>
      </c>
      <c r="E14" s="28">
        <v>5.9247312218488536E-2</v>
      </c>
      <c r="F14" s="28">
        <v>4.694580065314953E-2</v>
      </c>
      <c r="G14" s="28">
        <v>5.7709350413769123E-2</v>
      </c>
      <c r="H14" s="28">
        <v>4.7143036977296639E-2</v>
      </c>
      <c r="I14" s="12">
        <f t="shared" si="0"/>
        <v>0.25890757348211779</v>
      </c>
      <c r="J14" s="12">
        <f t="shared" si="1"/>
        <v>0.32582132324623198</v>
      </c>
      <c r="K14" s="12"/>
      <c r="L14" s="12">
        <f>SUM(C$4:C14)</f>
        <v>-1.0820308518955706</v>
      </c>
      <c r="M14" s="28">
        <v>0.23699910118760262</v>
      </c>
      <c r="N14" s="12">
        <f>SUM(E$4:E14)</f>
        <v>1.1206695585357285</v>
      </c>
      <c r="O14" s="28">
        <v>0.22559582852465748</v>
      </c>
      <c r="P14" s="28">
        <v>3.863870664015763E-2</v>
      </c>
      <c r="Q14" s="28">
        <v>0.32720337989002829</v>
      </c>
      <c r="R14" s="28">
        <v>0.25890757348211779</v>
      </c>
      <c r="S14" s="28">
        <v>0.32582132324623198</v>
      </c>
    </row>
    <row r="15" spans="1:19">
      <c r="A15" s="84">
        <v>11</v>
      </c>
      <c r="B15" s="84">
        <v>44</v>
      </c>
      <c r="C15" s="28">
        <v>-1.1709250048766483E-3</v>
      </c>
      <c r="D15" s="28">
        <v>2.2823328032291856E-3</v>
      </c>
      <c r="E15" s="28">
        <v>5.6047968410038423E-2</v>
      </c>
      <c r="F15" s="28">
        <v>4.4202784124511355E-2</v>
      </c>
      <c r="G15" s="28">
        <v>5.4877043405161773E-2</v>
      </c>
      <c r="H15" s="28">
        <v>4.4261667019926496E-2</v>
      </c>
      <c r="I15" s="12">
        <f t="shared" si="0"/>
        <v>0.21967450459043492</v>
      </c>
      <c r="J15" s="12">
        <f t="shared" si="1"/>
        <v>0.32888425693936424</v>
      </c>
      <c r="K15" s="12"/>
      <c r="L15" s="12">
        <f>SUM(C$4:C15)</f>
        <v>-1.0832017769004472</v>
      </c>
      <c r="M15" s="28">
        <v>0.23701009051674612</v>
      </c>
      <c r="N15" s="12">
        <f>SUM(E$4:E15)</f>
        <v>1.1767175269457668</v>
      </c>
      <c r="O15" s="28">
        <v>0.2298855453743989</v>
      </c>
      <c r="P15" s="28">
        <v>9.3515750045319396E-2</v>
      </c>
      <c r="Q15" s="28">
        <v>0.33018350500720206</v>
      </c>
      <c r="R15" s="28">
        <v>0.21967450459043492</v>
      </c>
      <c r="S15" s="28">
        <v>0.32888425693936424</v>
      </c>
    </row>
    <row r="16" spans="1:19">
      <c r="A16" s="84">
        <v>12</v>
      </c>
      <c r="B16" s="84">
        <v>48</v>
      </c>
      <c r="C16" s="28">
        <v>-1.3816770003377795E-4</v>
      </c>
      <c r="D16" s="28">
        <v>2.396867211753315E-4</v>
      </c>
      <c r="E16" s="28">
        <v>6.6936186117387025E-2</v>
      </c>
      <c r="F16" s="28">
        <v>8.5713275559782295E-2</v>
      </c>
      <c r="G16" s="28">
        <v>6.679801841735325E-2</v>
      </c>
      <c r="H16" s="28">
        <v>8.5713610686468461E-2</v>
      </c>
      <c r="I16" s="12">
        <f t="shared" si="0"/>
        <v>0.18507194196423002</v>
      </c>
      <c r="J16" s="12">
        <f t="shared" si="1"/>
        <v>0.33157049384676474</v>
      </c>
      <c r="K16" s="12"/>
      <c r="L16" s="12">
        <f>SUM(C$4:C16)</f>
        <v>-1.083339944600481</v>
      </c>
      <c r="M16" s="28">
        <v>0.23701021171350509</v>
      </c>
      <c r="N16" s="12">
        <f>SUM(E$4:E16)</f>
        <v>1.2436537130631538</v>
      </c>
      <c r="O16" s="28">
        <v>0.24534491961170093</v>
      </c>
      <c r="P16" s="28">
        <v>0.16031376846267265</v>
      </c>
      <c r="Q16" s="28">
        <v>0.34112749821108307</v>
      </c>
      <c r="R16" s="28">
        <v>0.18507194196423002</v>
      </c>
      <c r="S16" s="28">
        <v>0.33157049384676474</v>
      </c>
    </row>
    <row r="17" spans="1:21">
      <c r="A17" s="84">
        <v>13</v>
      </c>
      <c r="B17" s="84">
        <v>52</v>
      </c>
      <c r="C17" s="28">
        <v>-3.1477373879297375E-4</v>
      </c>
      <c r="D17" s="28">
        <v>8.1199974385071799E-4</v>
      </c>
      <c r="E17" s="28">
        <v>3.2659330410691995E-2</v>
      </c>
      <c r="F17" s="28">
        <v>2.9799991043644284E-2</v>
      </c>
      <c r="G17" s="28">
        <v>3.2344556671899019E-2</v>
      </c>
      <c r="H17" s="28">
        <v>2.9811051806088514E-2</v>
      </c>
      <c r="I17" s="12">
        <f t="shared" si="0"/>
        <v>0.17068984870369874</v>
      </c>
      <c r="J17" s="12">
        <f t="shared" si="1"/>
        <v>0.33227837605511362</v>
      </c>
      <c r="K17" s="12"/>
      <c r="L17" s="12">
        <f>SUM(C$4:C17)</f>
        <v>-1.083654718339274</v>
      </c>
      <c r="M17" s="28">
        <v>0.23701160266971008</v>
      </c>
      <c r="N17" s="12">
        <f>SUM(E$4:E17)</f>
        <v>1.2763130434738457</v>
      </c>
      <c r="O17" s="28">
        <v>0.24714807109397652</v>
      </c>
      <c r="P17" s="28">
        <v>0.19265832513457165</v>
      </c>
      <c r="Q17" s="28">
        <v>0.34242761110275233</v>
      </c>
      <c r="R17" s="28">
        <v>0.17068984870369874</v>
      </c>
      <c r="S17" s="28">
        <v>0.33227837605511362</v>
      </c>
    </row>
    <row r="18" spans="1:21">
      <c r="A18" s="84">
        <v>14</v>
      </c>
      <c r="B18" s="84">
        <v>56</v>
      </c>
      <c r="C18" s="28">
        <v>5.5385422773545514E-6</v>
      </c>
      <c r="D18" s="28">
        <v>2.5251396364873313E-4</v>
      </c>
      <c r="E18" s="28">
        <v>2.7800928644849086E-2</v>
      </c>
      <c r="F18" s="28">
        <v>2.3486392002430148E-2</v>
      </c>
      <c r="G18" s="28">
        <v>2.7806467187126441E-2</v>
      </c>
      <c r="H18" s="28">
        <v>2.348774941525161E-2</v>
      </c>
      <c r="I18" s="12">
        <f t="shared" si="0"/>
        <v>0.14990642575270222</v>
      </c>
      <c r="J18" s="12">
        <f t="shared" si="1"/>
        <v>0.33354254838413755</v>
      </c>
      <c r="K18" s="12"/>
      <c r="L18" s="12">
        <f>SUM(C$4:C18)</f>
        <v>-1.0836491797969967</v>
      </c>
      <c r="M18" s="28">
        <v>0.23701173718482038</v>
      </c>
      <c r="N18" s="12">
        <f>SUM(E$4:E18)</f>
        <v>1.3041139721186947</v>
      </c>
      <c r="O18" s="28">
        <v>0.24826151464688417</v>
      </c>
      <c r="P18" s="28">
        <v>0.22046479232169808</v>
      </c>
      <c r="Q18" s="28">
        <v>0.34323220014755529</v>
      </c>
      <c r="R18" s="28">
        <v>0.14990642575270222</v>
      </c>
      <c r="S18" s="28">
        <v>0.33354254838413755</v>
      </c>
      <c r="U18" s="88" t="s">
        <v>78</v>
      </c>
    </row>
    <row r="19" spans="1:21">
      <c r="A19" s="84">
        <v>15</v>
      </c>
      <c r="B19" s="84">
        <v>60</v>
      </c>
      <c r="C19" s="28">
        <v>-1.4872971487286794E-4</v>
      </c>
      <c r="D19" s="28">
        <v>2.8157834387154164E-4</v>
      </c>
      <c r="E19" s="28">
        <v>2.7546945472743445E-2</v>
      </c>
      <c r="F19" s="28">
        <v>2.603751164016746E-2</v>
      </c>
      <c r="G19" s="28">
        <v>2.7398215757870575E-2</v>
      </c>
      <c r="H19" s="28">
        <v>2.6039034136764623E-2</v>
      </c>
      <c r="I19" s="12">
        <f t="shared" si="0"/>
        <v>0.14426950838034894</v>
      </c>
      <c r="J19" s="12">
        <f t="shared" si="1"/>
        <v>0.33371468551886946</v>
      </c>
      <c r="K19" s="12"/>
      <c r="L19" s="12">
        <f>SUM(C$4:C19)</f>
        <v>-1.0837979095118695</v>
      </c>
      <c r="M19" s="28">
        <v>0.23701190444728742</v>
      </c>
      <c r="N19" s="12">
        <f>SUM(E$4:E19)</f>
        <v>1.3316609175914382</v>
      </c>
      <c r="O19" s="28">
        <v>0.24962317934674444</v>
      </c>
      <c r="P19" s="28">
        <v>0.24786300807956865</v>
      </c>
      <c r="Q19" s="28">
        <v>0.3442184982201088</v>
      </c>
      <c r="R19" s="28">
        <v>0.14426950838034894</v>
      </c>
      <c r="S19" s="28">
        <v>0.33371468551886946</v>
      </c>
      <c r="U19" s="89">
        <f>(N19+R19)/L19</f>
        <v>-1.3618133168724507</v>
      </c>
    </row>
  </sheetData>
  <mergeCells count="8">
    <mergeCell ref="R2:S2"/>
    <mergeCell ref="G2:H2"/>
    <mergeCell ref="P2:Q2"/>
    <mergeCell ref="C2:D2"/>
    <mergeCell ref="E2:F2"/>
    <mergeCell ref="I2:J2"/>
    <mergeCell ref="L2:M2"/>
    <mergeCell ref="N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9707-DCB3-44D6-A138-4FE45457D209}">
  <sheetPr codeName="Sheet9"/>
  <dimension ref="A1:U19"/>
  <sheetViews>
    <sheetView workbookViewId="0">
      <selection activeCell="D4" sqref="D4"/>
    </sheetView>
  </sheetViews>
  <sheetFormatPr defaultRowHeight="15"/>
  <cols>
    <col min="1" max="20" width="9.140625" style="84"/>
    <col min="21" max="21" width="13" style="84" customWidth="1"/>
    <col min="22" max="16384" width="9.140625" style="84"/>
  </cols>
  <sheetData>
    <row r="1" spans="1:19">
      <c r="C1" s="87" t="s">
        <v>26</v>
      </c>
      <c r="D1" s="87"/>
      <c r="E1" s="87"/>
      <c r="F1" s="87"/>
      <c r="G1" s="87"/>
      <c r="H1" s="87"/>
      <c r="I1" s="87"/>
      <c r="J1" s="87"/>
      <c r="L1" s="87" t="s">
        <v>25</v>
      </c>
      <c r="M1" s="87"/>
      <c r="N1" s="87"/>
      <c r="O1" s="87"/>
      <c r="P1" s="87"/>
      <c r="Q1" s="87"/>
      <c r="R1" s="87"/>
      <c r="S1" s="87"/>
    </row>
    <row r="2" spans="1:19">
      <c r="C2" s="143" t="s">
        <v>77</v>
      </c>
      <c r="D2" s="143"/>
      <c r="E2" s="143" t="s">
        <v>76</v>
      </c>
      <c r="F2" s="143"/>
      <c r="G2" s="143" t="s">
        <v>80</v>
      </c>
      <c r="H2" s="143"/>
      <c r="I2" s="143" t="s">
        <v>75</v>
      </c>
      <c r="J2" s="143"/>
      <c r="L2" s="143" t="s">
        <v>81</v>
      </c>
      <c r="M2" s="143"/>
      <c r="N2" s="143" t="s">
        <v>82</v>
      </c>
      <c r="O2" s="143"/>
      <c r="P2" s="143" t="s">
        <v>83</v>
      </c>
      <c r="Q2" s="143"/>
      <c r="R2" s="143" t="s">
        <v>84</v>
      </c>
      <c r="S2" s="143"/>
    </row>
    <row r="3" spans="1:19">
      <c r="A3" s="84" t="s">
        <v>74</v>
      </c>
      <c r="B3" s="84" t="s">
        <v>73</v>
      </c>
      <c r="C3" s="85" t="s">
        <v>72</v>
      </c>
      <c r="D3" s="85" t="s">
        <v>71</v>
      </c>
      <c r="E3" s="85" t="s">
        <v>72</v>
      </c>
      <c r="F3" s="85" t="s">
        <v>71</v>
      </c>
      <c r="G3" s="85" t="s">
        <v>72</v>
      </c>
      <c r="H3" s="85" t="s">
        <v>71</v>
      </c>
      <c r="I3" s="85" t="s">
        <v>72</v>
      </c>
      <c r="J3" s="85" t="s">
        <v>71</v>
      </c>
      <c r="L3" s="85" t="s">
        <v>72</v>
      </c>
      <c r="M3" s="85" t="s">
        <v>71</v>
      </c>
      <c r="N3" s="85" t="s">
        <v>72</v>
      </c>
      <c r="O3" s="85" t="s">
        <v>71</v>
      </c>
      <c r="P3" s="85" t="s">
        <v>72</v>
      </c>
      <c r="Q3" s="85" t="s">
        <v>71</v>
      </c>
      <c r="R3" s="85" t="s">
        <v>72</v>
      </c>
      <c r="S3" s="85" t="s">
        <v>71</v>
      </c>
    </row>
    <row r="4" spans="1:19">
      <c r="A4" s="84">
        <v>0</v>
      </c>
      <c r="B4" s="84">
        <v>0</v>
      </c>
      <c r="C4" s="28"/>
      <c r="D4" s="28">
        <v>3.3281717186978747E-2</v>
      </c>
      <c r="E4" s="28"/>
      <c r="F4" s="28">
        <v>0</v>
      </c>
      <c r="G4" s="28"/>
      <c r="H4" s="28">
        <v>3.3281717186978747E-2</v>
      </c>
      <c r="I4" s="28">
        <v>5.3798118182805547E-2</v>
      </c>
      <c r="J4" s="28">
        <v>3.4433111420458747E-2</v>
      </c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84">
        <v>1</v>
      </c>
      <c r="B5" s="84">
        <v>4</v>
      </c>
      <c r="C5" s="95">
        <v>-0.26326044226671136</v>
      </c>
      <c r="D5" s="28">
        <v>0.10001569000031067</v>
      </c>
      <c r="E5" s="95">
        <v>5.5222732516507485E-4</v>
      </c>
      <c r="F5" s="28">
        <v>1.6884429790404189E-3</v>
      </c>
      <c r="G5" s="95">
        <v>-0.26270821494154628</v>
      </c>
      <c r="H5" s="28">
        <v>0.10002994094735694</v>
      </c>
      <c r="I5" s="12">
        <f>R5</f>
        <v>0.25158593001900276</v>
      </c>
      <c r="J5" s="12">
        <f>S5</f>
        <v>0.10528435012784154</v>
      </c>
      <c r="K5" s="12"/>
      <c r="L5" s="12">
        <f>SUM(C$4:C5)</f>
        <v>-0.26326044226671136</v>
      </c>
      <c r="M5" s="28">
        <v>0.10540783151717087</v>
      </c>
      <c r="N5" s="12">
        <f>SUM(E$4:E5)</f>
        <v>5.5222732516507485E-4</v>
      </c>
      <c r="O5" s="28">
        <v>1.6884429790404189E-3</v>
      </c>
      <c r="P5" s="28">
        <v>-0.26270821494154628</v>
      </c>
      <c r="Q5" s="28">
        <v>0.10542135355252158</v>
      </c>
      <c r="R5" s="28">
        <v>0.25158593001900276</v>
      </c>
      <c r="S5" s="28">
        <v>0.10528435012784154</v>
      </c>
    </row>
    <row r="6" spans="1:19">
      <c r="A6" s="84">
        <v>2</v>
      </c>
      <c r="B6" s="84">
        <v>8</v>
      </c>
      <c r="C6" s="28">
        <v>-0.29353824796560024</v>
      </c>
      <c r="D6" s="28">
        <v>7.6052121406259887E-2</v>
      </c>
      <c r="E6" s="28">
        <v>1.8782836800317369E-2</v>
      </c>
      <c r="F6" s="28">
        <v>1.2939901543337431E-2</v>
      </c>
      <c r="G6" s="28">
        <v>-0.27475541116528285</v>
      </c>
      <c r="H6" s="28">
        <v>7.7145098498503192E-2</v>
      </c>
      <c r="I6" s="12">
        <f t="shared" ref="I6:I19" si="0">R6</f>
        <v>0.54421481356739587</v>
      </c>
      <c r="J6" s="12">
        <f t="shared" ref="J6:J19" si="1">S6</f>
        <v>0.13123974412535214</v>
      </c>
      <c r="K6" s="12"/>
      <c r="L6" s="12">
        <f>SUM(C$4:C6)</f>
        <v>-0.55679869023231165</v>
      </c>
      <c r="M6" s="28">
        <v>0.12997975271381607</v>
      </c>
      <c r="N6" s="12">
        <f>SUM(E$4:E6)</f>
        <v>1.9335064125482443E-2</v>
      </c>
      <c r="O6" s="28">
        <v>1.3049593543277021E-2</v>
      </c>
      <c r="P6" s="28">
        <v>-0.53746362610682907</v>
      </c>
      <c r="Q6" s="28">
        <v>0.130633181111039</v>
      </c>
      <c r="R6" s="28">
        <v>0.54421481356739587</v>
      </c>
      <c r="S6" s="28">
        <v>0.13123974412535214</v>
      </c>
    </row>
    <row r="7" spans="1:19">
      <c r="A7" s="84">
        <v>3</v>
      </c>
      <c r="B7" s="84">
        <v>12</v>
      </c>
      <c r="C7" s="28">
        <v>-0.24435568675260172</v>
      </c>
      <c r="D7" s="28">
        <v>6.8516190591671466E-2</v>
      </c>
      <c r="E7" s="28">
        <v>6.9291610603652423E-2</v>
      </c>
      <c r="F7" s="28">
        <v>2.8731634968469335E-2</v>
      </c>
      <c r="G7" s="28">
        <v>-0.17506407614894931</v>
      </c>
      <c r="H7" s="28">
        <v>7.4296535727822591E-2</v>
      </c>
      <c r="I7" s="12">
        <f t="shared" si="0"/>
        <v>0.77083529681209473</v>
      </c>
      <c r="J7" s="12">
        <f t="shared" si="1"/>
        <v>0.15685898727646619</v>
      </c>
      <c r="K7" s="12"/>
      <c r="L7" s="12">
        <f>SUM(C$4:C7)</f>
        <v>-0.80115437698491343</v>
      </c>
      <c r="M7" s="28">
        <v>0.14693265290172577</v>
      </c>
      <c r="N7" s="12">
        <f>SUM(E$4:E7)</f>
        <v>8.8626674729134866E-2</v>
      </c>
      <c r="O7" s="28">
        <v>3.1556278925217202E-2</v>
      </c>
      <c r="P7" s="28">
        <v>-0.71252770225577833</v>
      </c>
      <c r="Q7" s="28">
        <v>0.150283076985884</v>
      </c>
      <c r="R7" s="28">
        <v>0.77083529681209473</v>
      </c>
      <c r="S7" s="28">
        <v>0.15685898727646619</v>
      </c>
    </row>
    <row r="8" spans="1:19">
      <c r="A8" s="84">
        <v>4</v>
      </c>
      <c r="B8" s="84">
        <v>16</v>
      </c>
      <c r="C8" s="28">
        <v>-0.11239631085047128</v>
      </c>
      <c r="D8" s="28">
        <v>5.5084282745525674E-2</v>
      </c>
      <c r="E8" s="28">
        <v>0.16882683957225952</v>
      </c>
      <c r="F8" s="28">
        <v>8.8430475970959696E-2</v>
      </c>
      <c r="G8" s="28">
        <v>5.6430528721788248E-2</v>
      </c>
      <c r="H8" s="28">
        <v>0.10418362292625218</v>
      </c>
      <c r="I8" s="12">
        <f t="shared" si="0"/>
        <v>0.79637051942860015</v>
      </c>
      <c r="J8" s="12">
        <f t="shared" si="1"/>
        <v>0.18880952404259002</v>
      </c>
      <c r="K8" s="12"/>
      <c r="L8" s="12">
        <f>SUM(C$4:C8)</f>
        <v>-0.91355068783538473</v>
      </c>
      <c r="M8" s="28">
        <v>0.15691871365241317</v>
      </c>
      <c r="N8" s="12">
        <f>SUM(E$4:E8)</f>
        <v>0.2574535143013944</v>
      </c>
      <c r="O8" s="28">
        <v>9.3892213841492669E-2</v>
      </c>
      <c r="P8" s="28">
        <v>-0.65609717353399011</v>
      </c>
      <c r="Q8" s="28">
        <v>0.18286396723899609</v>
      </c>
      <c r="R8" s="28">
        <v>0.79637051942860015</v>
      </c>
      <c r="S8" s="28">
        <v>0.18880952404259002</v>
      </c>
    </row>
    <row r="9" spans="1:19">
      <c r="A9" s="84">
        <v>5</v>
      </c>
      <c r="B9" s="84">
        <v>20</v>
      </c>
      <c r="C9" s="28">
        <v>-3.514103009644913E-2</v>
      </c>
      <c r="D9" s="28">
        <v>2.3490715601029132E-2</v>
      </c>
      <c r="E9" s="28">
        <v>0.21286491166201604</v>
      </c>
      <c r="F9" s="28">
        <v>9.3667138801445088E-2</v>
      </c>
      <c r="G9" s="28">
        <v>0.1777238815655669</v>
      </c>
      <c r="H9" s="28">
        <v>9.6567834244626255E-2</v>
      </c>
      <c r="I9" s="12">
        <f t="shared" si="0"/>
        <v>0.70083513347267634</v>
      </c>
      <c r="J9" s="12">
        <f t="shared" si="1"/>
        <v>0.20760851527184371</v>
      </c>
      <c r="K9" s="12"/>
      <c r="L9" s="12">
        <f>SUM(C$4:C9)</f>
        <v>-0.94869171793183382</v>
      </c>
      <c r="M9" s="28">
        <v>0.15866725060256281</v>
      </c>
      <c r="N9" s="12">
        <f>SUM(E$4:E9)</f>
        <v>0.47031842596341045</v>
      </c>
      <c r="O9" s="28">
        <v>0.13262458562161755</v>
      </c>
      <c r="P9" s="28">
        <v>-0.47837329196842321</v>
      </c>
      <c r="Q9" s="28">
        <v>0.20679597947030362</v>
      </c>
      <c r="R9" s="28">
        <v>0.70083513347267634</v>
      </c>
      <c r="S9" s="28">
        <v>0.20760851527184371</v>
      </c>
    </row>
    <row r="10" spans="1:19">
      <c r="A10" s="84">
        <v>6</v>
      </c>
      <c r="B10" s="84">
        <v>24</v>
      </c>
      <c r="C10" s="28">
        <v>-2.0065262621833856E-2</v>
      </c>
      <c r="D10" s="28">
        <v>1.4450013435298387E-2</v>
      </c>
      <c r="E10" s="28">
        <v>0.18629234122570495</v>
      </c>
      <c r="F10" s="28">
        <v>8.5099626802918951E-2</v>
      </c>
      <c r="G10" s="28">
        <v>0.16622707860387109</v>
      </c>
      <c r="H10" s="28">
        <v>8.6317723384461351E-2</v>
      </c>
      <c r="I10" s="12">
        <f t="shared" si="0"/>
        <v>0.56013704944236131</v>
      </c>
      <c r="J10" s="12">
        <f t="shared" si="1"/>
        <v>0.22683157701941986</v>
      </c>
      <c r="K10" s="12"/>
      <c r="L10" s="12">
        <f>SUM(C$4:C10)</f>
        <v>-0.96875698055366766</v>
      </c>
      <c r="M10" s="28">
        <v>0.15932388176935927</v>
      </c>
      <c r="N10" s="12">
        <f>SUM(E$4:E10)</f>
        <v>0.65661076718911537</v>
      </c>
      <c r="O10" s="28">
        <v>0.15757927272741756</v>
      </c>
      <c r="P10" s="28">
        <v>-0.31214621336455212</v>
      </c>
      <c r="Q10" s="28">
        <v>0.22408776516213155</v>
      </c>
      <c r="R10" s="28">
        <v>0.56013704944236131</v>
      </c>
      <c r="S10" s="28">
        <v>0.22683157701941986</v>
      </c>
    </row>
    <row r="11" spans="1:19">
      <c r="A11" s="84">
        <v>7</v>
      </c>
      <c r="B11" s="84">
        <v>28</v>
      </c>
      <c r="C11" s="28">
        <v>-7.855706450459821E-3</v>
      </c>
      <c r="D11" s="28">
        <v>8.0453994170585699E-3</v>
      </c>
      <c r="E11" s="28">
        <v>0.17421646657257764</v>
      </c>
      <c r="F11" s="28">
        <v>0.10029879723166515</v>
      </c>
      <c r="G11" s="28">
        <v>0.16636076012211781</v>
      </c>
      <c r="H11" s="28">
        <v>0.10062095794564216</v>
      </c>
      <c r="I11" s="12">
        <f t="shared" si="0"/>
        <v>0.41443711856375215</v>
      </c>
      <c r="J11" s="12">
        <f t="shared" si="1"/>
        <v>0.24265266566909</v>
      </c>
      <c r="K11" s="12"/>
      <c r="L11" s="12">
        <f>SUM(C$4:C11)</f>
        <v>-0.97661268700412751</v>
      </c>
      <c r="M11" s="28">
        <v>0.15952688724424099</v>
      </c>
      <c r="N11" s="12">
        <f>SUM(E$4:E11)</f>
        <v>0.83082723376169298</v>
      </c>
      <c r="O11" s="28">
        <v>0.18679153064156984</v>
      </c>
      <c r="P11" s="28">
        <v>-0.1457854532424343</v>
      </c>
      <c r="Q11" s="28">
        <v>0.24564181987857303</v>
      </c>
      <c r="R11" s="28">
        <v>0.41443711856375215</v>
      </c>
      <c r="S11" s="28">
        <v>0.24265266566909</v>
      </c>
    </row>
    <row r="12" spans="1:19">
      <c r="A12" s="84">
        <v>8</v>
      </c>
      <c r="B12" s="84">
        <v>32</v>
      </c>
      <c r="C12" s="28">
        <v>-3.0456389956303471E-3</v>
      </c>
      <c r="D12" s="28">
        <v>5.606423208763975E-3</v>
      </c>
      <c r="E12" s="28">
        <v>0.12169622131620399</v>
      </c>
      <c r="F12" s="28">
        <v>5.677379134870883E-2</v>
      </c>
      <c r="G12" s="28">
        <v>0.11865058232057364</v>
      </c>
      <c r="H12" s="28">
        <v>5.7049937469750941E-2</v>
      </c>
      <c r="I12" s="12">
        <f t="shared" si="0"/>
        <v>0.30967779940360729</v>
      </c>
      <c r="J12" s="12">
        <f t="shared" si="1"/>
        <v>0.25393078528012814</v>
      </c>
      <c r="K12" s="12"/>
      <c r="L12" s="12">
        <f>SUM(C$4:C12)</f>
        <v>-0.97965832599975788</v>
      </c>
      <c r="M12" s="28">
        <v>0.1596253730928531</v>
      </c>
      <c r="N12" s="12">
        <f>SUM(E$4:E12)</f>
        <v>0.95252345507789693</v>
      </c>
      <c r="O12" s="28">
        <v>0.19522894074272709</v>
      </c>
      <c r="P12" s="28">
        <v>-2.7134870921860663E-2</v>
      </c>
      <c r="Q12" s="28">
        <v>0.2521796959284387</v>
      </c>
      <c r="R12" s="28">
        <v>0.30967779940360729</v>
      </c>
      <c r="S12" s="28">
        <v>0.25393078528012814</v>
      </c>
    </row>
    <row r="13" spans="1:19">
      <c r="A13" s="84">
        <v>9</v>
      </c>
      <c r="B13" s="84">
        <v>36</v>
      </c>
      <c r="C13" s="28">
        <v>-9.2773943442000302E-4</v>
      </c>
      <c r="D13" s="28">
        <v>1.74675405117136E-3</v>
      </c>
      <c r="E13" s="28">
        <v>0.10921692411652457</v>
      </c>
      <c r="F13" s="28">
        <v>7.716411244181251E-2</v>
      </c>
      <c r="G13" s="28">
        <v>0.10828918468210458</v>
      </c>
      <c r="H13" s="28">
        <v>7.7183880432691171E-2</v>
      </c>
      <c r="I13" s="12">
        <f t="shared" si="0"/>
        <v>0.22437039232198702</v>
      </c>
      <c r="J13" s="12">
        <f t="shared" si="1"/>
        <v>0.25933028877466585</v>
      </c>
      <c r="K13" s="12"/>
      <c r="L13" s="12">
        <f>SUM(C$4:C13)</f>
        <v>-0.98058606543417792</v>
      </c>
      <c r="M13" s="28">
        <v>0.15963493002707094</v>
      </c>
      <c r="N13" s="12">
        <f>SUM(E$4:E13)</f>
        <v>1.0617403791944215</v>
      </c>
      <c r="O13" s="28">
        <v>0.20992531898858682</v>
      </c>
      <c r="P13" s="28">
        <v>8.1154313760243915E-2</v>
      </c>
      <c r="Q13" s="28">
        <v>0.26372703774396694</v>
      </c>
      <c r="R13" s="28">
        <v>0.22437039232198702</v>
      </c>
      <c r="S13" s="28">
        <v>0.25933028877466585</v>
      </c>
    </row>
    <row r="14" spans="1:19">
      <c r="A14" s="84">
        <v>10</v>
      </c>
      <c r="B14" s="84">
        <v>40</v>
      </c>
      <c r="C14" s="28">
        <v>-2.2712071295901311E-3</v>
      </c>
      <c r="D14" s="28">
        <v>4.1351913028307855E-3</v>
      </c>
      <c r="E14" s="28">
        <v>7.9805323308448944E-2</v>
      </c>
      <c r="F14" s="28">
        <v>5.0195821543337286E-2</v>
      </c>
      <c r="G14" s="28">
        <v>7.7534116178858817E-2</v>
      </c>
      <c r="H14" s="28">
        <v>5.0365864506842044E-2</v>
      </c>
      <c r="I14" s="12">
        <f t="shared" si="0"/>
        <v>0.15627263821311441</v>
      </c>
      <c r="J14" s="12">
        <f t="shared" si="1"/>
        <v>0.26300325705676242</v>
      </c>
      <c r="K14" s="12"/>
      <c r="L14" s="12">
        <f>SUM(C$4:C14)</f>
        <v>-0.98285727256376809</v>
      </c>
      <c r="M14" s="28">
        <v>0.15968848014762629</v>
      </c>
      <c r="N14" s="12">
        <f>SUM(E$4:E14)</f>
        <v>1.1415457025028706</v>
      </c>
      <c r="O14" s="28">
        <v>0.21584313760893695</v>
      </c>
      <c r="P14" s="28">
        <v>0.15868842993910273</v>
      </c>
      <c r="Q14" s="28">
        <v>0.26849333463743441</v>
      </c>
      <c r="R14" s="28">
        <v>0.15627263821311441</v>
      </c>
      <c r="S14" s="28">
        <v>0.26300325705676242</v>
      </c>
    </row>
    <row r="15" spans="1:19">
      <c r="A15" s="84">
        <v>11</v>
      </c>
      <c r="B15" s="84">
        <v>44</v>
      </c>
      <c r="C15" s="28">
        <v>-1.7254896878143328E-3</v>
      </c>
      <c r="D15" s="28">
        <v>3.029888784255589E-3</v>
      </c>
      <c r="E15" s="28">
        <v>7.1631137893741148E-2</v>
      </c>
      <c r="F15" s="28">
        <v>4.6011685625551378E-2</v>
      </c>
      <c r="G15" s="28">
        <v>6.9905648205926818E-2</v>
      </c>
      <c r="H15" s="28">
        <v>4.6111337436139592E-2</v>
      </c>
      <c r="I15" s="12">
        <f t="shared" si="0"/>
        <v>0.10270342827778227</v>
      </c>
      <c r="J15" s="12">
        <f t="shared" si="1"/>
        <v>0.26528067205871442</v>
      </c>
      <c r="K15" s="12"/>
      <c r="L15" s="12">
        <f>SUM(C$4:C15)</f>
        <v>-0.98458276225158248</v>
      </c>
      <c r="M15" s="28">
        <v>0.15971722173235983</v>
      </c>
      <c r="N15" s="12">
        <f>SUM(E$4:E15)</f>
        <v>1.2131768403966117</v>
      </c>
      <c r="O15" s="28">
        <v>0.22069285277728198</v>
      </c>
      <c r="P15" s="28">
        <v>0.22859407814502955</v>
      </c>
      <c r="Q15" s="28">
        <v>0.27242416593407948</v>
      </c>
      <c r="R15" s="28">
        <v>0.10270342827778227</v>
      </c>
      <c r="S15" s="28">
        <v>0.26528067205871442</v>
      </c>
    </row>
    <row r="16" spans="1:19">
      <c r="A16" s="84">
        <v>12</v>
      </c>
      <c r="B16" s="84">
        <v>48</v>
      </c>
      <c r="C16" s="28">
        <v>-1.7244668869152513E-3</v>
      </c>
      <c r="D16" s="28">
        <v>2.7466950033116487E-3</v>
      </c>
      <c r="E16" s="28">
        <v>3.7949768282248962E-2</v>
      </c>
      <c r="F16" s="28">
        <v>3.8927295291453626E-2</v>
      </c>
      <c r="G16" s="28">
        <v>3.6225301395333712E-2</v>
      </c>
      <c r="H16" s="28">
        <v>3.9024077851363054E-2</v>
      </c>
      <c r="I16" s="12">
        <f t="shared" si="0"/>
        <v>7.4776829291955463E-2</v>
      </c>
      <c r="J16" s="12">
        <f t="shared" si="1"/>
        <v>0.26590282710350782</v>
      </c>
      <c r="K16" s="12"/>
      <c r="L16" s="12">
        <f>SUM(C$4:C16)</f>
        <v>-0.98630722913849778</v>
      </c>
      <c r="M16" s="28">
        <v>0.15974083776963552</v>
      </c>
      <c r="N16" s="12">
        <f>SUM(E$4:E16)</f>
        <v>1.2511266086788606</v>
      </c>
      <c r="O16" s="28">
        <v>0.22409968671482583</v>
      </c>
      <c r="P16" s="28">
        <v>0.26481937954036328</v>
      </c>
      <c r="Q16" s="28">
        <v>0.27520502327724344</v>
      </c>
      <c r="R16" s="28">
        <v>7.4776829291955463E-2</v>
      </c>
      <c r="S16" s="28">
        <v>0.26590282710350782</v>
      </c>
    </row>
    <row r="17" spans="1:21">
      <c r="A17" s="84">
        <v>13</v>
      </c>
      <c r="B17" s="84">
        <v>52</v>
      </c>
      <c r="C17" s="28">
        <v>-1.8297353422262338E-3</v>
      </c>
      <c r="D17" s="28">
        <v>4.4673871434680193E-3</v>
      </c>
      <c r="E17" s="28">
        <v>2.2355937484506282E-2</v>
      </c>
      <c r="F17" s="28">
        <v>2.2984799928718554E-2</v>
      </c>
      <c r="G17" s="28">
        <v>2.0526202142280049E-2</v>
      </c>
      <c r="H17" s="28">
        <v>2.3414922072320543E-2</v>
      </c>
      <c r="I17" s="12">
        <f t="shared" si="0"/>
        <v>6.231158518815344E-2</v>
      </c>
      <c r="J17" s="12">
        <f t="shared" si="1"/>
        <v>0.26616683618321596</v>
      </c>
      <c r="K17" s="12"/>
      <c r="L17" s="12">
        <f>SUM(C$4:C17)</f>
        <v>-0.98813696448072397</v>
      </c>
      <c r="M17" s="28">
        <v>0.15980329408130059</v>
      </c>
      <c r="N17" s="12">
        <f>SUM(E$4:E17)</f>
        <v>1.273482546163367</v>
      </c>
      <c r="O17" s="28">
        <v>0.22527532180300244</v>
      </c>
      <c r="P17" s="28">
        <v>0.28534558168264335</v>
      </c>
      <c r="Q17" s="28">
        <v>0.27619931826976141</v>
      </c>
      <c r="R17" s="28">
        <v>6.231158518815344E-2</v>
      </c>
      <c r="S17" s="28">
        <v>0.26616683618321596</v>
      </c>
    </row>
    <row r="18" spans="1:21">
      <c r="A18" s="84">
        <v>14</v>
      </c>
      <c r="B18" s="84">
        <v>56</v>
      </c>
      <c r="C18" s="28">
        <v>-6.2538907311421202E-4</v>
      </c>
      <c r="D18" s="28">
        <v>1.4321624965512143E-3</v>
      </c>
      <c r="E18" s="28">
        <v>1.3256947691726773E-2</v>
      </c>
      <c r="F18" s="28">
        <v>1.7198391899938738E-2</v>
      </c>
      <c r="G18" s="28">
        <v>1.2631558618612562E-2</v>
      </c>
      <c r="H18" s="28">
        <v>1.725791914920238E-2</v>
      </c>
      <c r="I18" s="12">
        <f t="shared" si="0"/>
        <v>5.90159624567703E-2</v>
      </c>
      <c r="J18" s="12">
        <f t="shared" si="1"/>
        <v>0.26620278562591182</v>
      </c>
      <c r="K18" s="12"/>
      <c r="L18" s="12">
        <f>SUM(C$4:C18)</f>
        <v>-0.98876235355383812</v>
      </c>
      <c r="M18" s="28">
        <v>0.15980971149667711</v>
      </c>
      <c r="N18" s="12">
        <f>SUM(E$4:E18)</f>
        <v>1.2867394938550938</v>
      </c>
      <c r="O18" s="28">
        <v>0.22593086397699227</v>
      </c>
      <c r="P18" s="28">
        <v>0.29797714030125588</v>
      </c>
      <c r="Q18" s="28">
        <v>0.27673796123054994</v>
      </c>
      <c r="R18" s="28">
        <v>5.90159624567703E-2</v>
      </c>
      <c r="S18" s="28">
        <v>0.26620278562591182</v>
      </c>
      <c r="U18" s="88" t="s">
        <v>78</v>
      </c>
    </row>
    <row r="19" spans="1:21">
      <c r="A19" s="84">
        <v>15</v>
      </c>
      <c r="B19" s="84">
        <v>60</v>
      </c>
      <c r="C19" s="28">
        <v>-3.1006402875188057E-4</v>
      </c>
      <c r="D19" s="28">
        <v>1.160153363552362E-3</v>
      </c>
      <c r="E19" s="28">
        <v>1.0737051538639041E-2</v>
      </c>
      <c r="F19" s="28">
        <v>1.4608459231751037E-2</v>
      </c>
      <c r="G19" s="28">
        <v>1.0426987509887161E-2</v>
      </c>
      <c r="H19" s="28">
        <v>1.4654454508875245E-2</v>
      </c>
      <c r="I19" s="12">
        <f t="shared" si="0"/>
        <v>5.6043828120928903E-2</v>
      </c>
      <c r="J19" s="12">
        <f t="shared" si="1"/>
        <v>0.26623708218551262</v>
      </c>
      <c r="K19" s="12"/>
      <c r="L19" s="12">
        <f>SUM(C$4:C19)</f>
        <v>-0.98907241758259001</v>
      </c>
      <c r="M19" s="28">
        <v>0.1598139225614531</v>
      </c>
      <c r="N19" s="12">
        <f>SUM(E$4:E19)</f>
        <v>1.2974765453937329</v>
      </c>
      <c r="O19" s="28">
        <v>0.22640265541401214</v>
      </c>
      <c r="P19" s="28">
        <v>0.30840412781114307</v>
      </c>
      <c r="Q19" s="28">
        <v>0.27712569751467303</v>
      </c>
      <c r="R19" s="28">
        <v>5.6043828120928903E-2</v>
      </c>
      <c r="S19" s="28">
        <v>0.26623708218551262</v>
      </c>
      <c r="U19" s="89">
        <f>(N19+R19)/L19</f>
        <v>-1.3684744913045153</v>
      </c>
    </row>
  </sheetData>
  <mergeCells count="8">
    <mergeCell ref="R2:S2"/>
    <mergeCell ref="G2:H2"/>
    <mergeCell ref="P2:Q2"/>
    <mergeCell ref="C2:D2"/>
    <mergeCell ref="E2:F2"/>
    <mergeCell ref="I2:J2"/>
    <mergeCell ref="L2:M2"/>
    <mergeCell ref="N2:O2"/>
  </mergeCells>
  <pageMargins left="0.7" right="0.7" top="0.75" bottom="0.75" header="0.3" footer="0.3"/>
  <customProperties>
    <customPr name="Worksheet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2:B26"/>
  <sheetViews>
    <sheetView workbookViewId="0">
      <selection activeCell="D4" sqref="D4"/>
    </sheetView>
  </sheetViews>
  <sheetFormatPr defaultRowHeight="15"/>
  <cols>
    <col min="1" max="1" width="9.140625" style="59"/>
    <col min="2" max="2" width="7.28515625" style="59" bestFit="1" customWidth="1"/>
    <col min="3" max="16384" width="9.140625" style="59"/>
  </cols>
  <sheetData>
    <row r="2" spans="1:2">
      <c r="A2" s="59">
        <v>4</v>
      </c>
      <c r="B2" s="59" t="s">
        <v>6</v>
      </c>
    </row>
    <row r="3" spans="1:2">
      <c r="A3" s="59">
        <v>8</v>
      </c>
      <c r="B3" s="59" t="s">
        <v>7</v>
      </c>
    </row>
    <row r="4" spans="1:2">
      <c r="A4" s="59">
        <v>12</v>
      </c>
      <c r="B4" s="59" t="s">
        <v>8</v>
      </c>
    </row>
    <row r="5" spans="1:2">
      <c r="A5" s="59">
        <v>16</v>
      </c>
      <c r="B5" s="59" t="s">
        <v>9</v>
      </c>
    </row>
    <row r="6" spans="1:2">
      <c r="A6" s="59">
        <v>20</v>
      </c>
      <c r="B6" s="59" t="s">
        <v>10</v>
      </c>
    </row>
    <row r="7" spans="1:2">
      <c r="A7" s="59">
        <v>24</v>
      </c>
      <c r="B7" s="59" t="s">
        <v>11</v>
      </c>
    </row>
    <row r="8" spans="1:2">
      <c r="A8" s="59">
        <v>28</v>
      </c>
      <c r="B8" s="59" t="s">
        <v>12</v>
      </c>
    </row>
    <row r="9" spans="1:2">
      <c r="A9" s="59">
        <v>32</v>
      </c>
      <c r="B9" s="59" t="s">
        <v>13</v>
      </c>
    </row>
    <row r="10" spans="1:2">
      <c r="A10" s="59">
        <v>36</v>
      </c>
      <c r="B10" s="59" t="s">
        <v>14</v>
      </c>
    </row>
    <row r="11" spans="1:2">
      <c r="A11" s="59">
        <v>40</v>
      </c>
      <c r="B11" s="59" t="s">
        <v>15</v>
      </c>
    </row>
    <row r="12" spans="1:2">
      <c r="A12" s="59">
        <v>44</v>
      </c>
      <c r="B12" s="59" t="s">
        <v>16</v>
      </c>
    </row>
    <row r="13" spans="1:2">
      <c r="A13" s="59">
        <v>48</v>
      </c>
      <c r="B13" s="59" t="s">
        <v>17</v>
      </c>
    </row>
    <row r="14" spans="1:2">
      <c r="A14" s="59">
        <v>52</v>
      </c>
      <c r="B14" s="59" t="s">
        <v>18</v>
      </c>
    </row>
    <row r="15" spans="1:2">
      <c r="A15" s="59">
        <v>56</v>
      </c>
      <c r="B15" s="59" t="s">
        <v>19</v>
      </c>
    </row>
    <row r="16" spans="1:2">
      <c r="A16" s="59">
        <v>60</v>
      </c>
      <c r="B16" s="59" t="s">
        <v>20</v>
      </c>
    </row>
    <row r="17" spans="1:2">
      <c r="A17" s="59">
        <v>64</v>
      </c>
      <c r="B17" s="59" t="s">
        <v>61</v>
      </c>
    </row>
    <row r="18" spans="1:2">
      <c r="A18" s="59">
        <v>68</v>
      </c>
      <c r="B18" s="59" t="s">
        <v>60</v>
      </c>
    </row>
    <row r="19" spans="1:2">
      <c r="A19" s="59">
        <v>72</v>
      </c>
      <c r="B19" s="59" t="s">
        <v>59</v>
      </c>
    </row>
    <row r="20" spans="1:2">
      <c r="A20" s="59">
        <v>76</v>
      </c>
      <c r="B20" s="59" t="s">
        <v>58</v>
      </c>
    </row>
    <row r="21" spans="1:2">
      <c r="A21" s="59">
        <v>80</v>
      </c>
      <c r="B21" s="59" t="s">
        <v>57</v>
      </c>
    </row>
    <row r="22" spans="1:2">
      <c r="A22" s="59">
        <v>84</v>
      </c>
      <c r="B22" s="59" t="s">
        <v>56</v>
      </c>
    </row>
    <row r="23" spans="1:2">
      <c r="A23" s="59">
        <v>88</v>
      </c>
      <c r="B23" s="59" t="s">
        <v>55</v>
      </c>
    </row>
    <row r="24" spans="1:2">
      <c r="A24" s="59">
        <v>92</v>
      </c>
      <c r="B24" s="59" t="s">
        <v>54</v>
      </c>
    </row>
    <row r="25" spans="1:2">
      <c r="A25" s="59">
        <v>96</v>
      </c>
      <c r="B25" s="59" t="s">
        <v>53</v>
      </c>
    </row>
    <row r="26" spans="1:2">
      <c r="A26" s="59">
        <v>100</v>
      </c>
      <c r="B26" s="59" t="s">
        <v>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3504-D5E8-43D9-BB3F-7EBC518E19A0}">
  <sheetPr codeName="Sheet11">
    <tabColor theme="4"/>
  </sheetPr>
  <dimension ref="A1:U25"/>
  <sheetViews>
    <sheetView topLeftCell="B1" zoomScale="70" zoomScaleNormal="70" workbookViewId="0">
      <selection activeCell="D29" sqref="D29"/>
    </sheetView>
  </sheetViews>
  <sheetFormatPr defaultRowHeight="11.25" outlineLevelCol="1"/>
  <cols>
    <col min="1" max="1" width="14.28515625" style="98" customWidth="1"/>
    <col min="2" max="2" width="50" style="98" customWidth="1"/>
    <col min="3" max="3" width="30" style="98" customWidth="1"/>
    <col min="4" max="7" width="20" style="98" hidden="1" customWidth="1" outlineLevel="1"/>
    <col min="8" max="8" width="20" style="98" customWidth="1" collapsed="1"/>
    <col min="9" max="21" width="20" style="98" customWidth="1"/>
    <col min="22" max="16384" width="9.140625" style="98"/>
  </cols>
  <sheetData>
    <row r="1" spans="1:21">
      <c r="B1" s="99" t="s">
        <v>1</v>
      </c>
      <c r="C1" s="100">
        <f>SUM(C4:C25)</f>
        <v>70000000</v>
      </c>
      <c r="D1" s="99"/>
      <c r="E1" s="99"/>
      <c r="F1" s="99"/>
      <c r="G1" s="99"/>
      <c r="H1" s="101">
        <f t="shared" ref="H1:U1" si="0">SUM(H4:H25)</f>
        <v>842098.05783267866</v>
      </c>
      <c r="I1" s="101">
        <f t="shared" si="0"/>
        <v>1823657.0068379769</v>
      </c>
      <c r="J1" s="101">
        <f t="shared" si="0"/>
        <v>2933512.9876834787</v>
      </c>
      <c r="K1" s="101">
        <f t="shared" si="0"/>
        <v>3813681.2839925974</v>
      </c>
      <c r="L1" s="101">
        <f t="shared" si="0"/>
        <v>4262787.9271947602</v>
      </c>
      <c r="M1" s="101">
        <f t="shared" si="0"/>
        <v>4072934.9017289025</v>
      </c>
      <c r="N1" s="101">
        <f t="shared" si="0"/>
        <v>3704674.4623549348</v>
      </c>
      <c r="O1" s="101">
        <f t="shared" si="0"/>
        <v>3136924.4306296138</v>
      </c>
      <c r="P1" s="101">
        <f t="shared" si="0"/>
        <v>2484189.8850238337</v>
      </c>
      <c r="Q1" s="101">
        <f t="shared" si="0"/>
        <v>2019701.4490590782</v>
      </c>
      <c r="R1" s="101">
        <f t="shared" si="0"/>
        <v>1515294.2854646333</v>
      </c>
      <c r="S1" s="101">
        <f t="shared" si="0"/>
        <v>1162539.2755265657</v>
      </c>
      <c r="T1" s="101">
        <f t="shared" si="0"/>
        <v>899147.12619291747</v>
      </c>
      <c r="U1" s="101">
        <f t="shared" si="0"/>
        <v>773473.4518082788</v>
      </c>
    </row>
    <row r="2" spans="1:21">
      <c r="H2" s="111" t="s">
        <v>6</v>
      </c>
      <c r="I2" s="111" t="s">
        <v>7</v>
      </c>
      <c r="J2" s="111" t="s">
        <v>8</v>
      </c>
      <c r="K2" s="111" t="s">
        <v>9</v>
      </c>
      <c r="L2" s="111" t="s">
        <v>10</v>
      </c>
      <c r="M2" s="111" t="s">
        <v>11</v>
      </c>
      <c r="N2" s="111" t="s">
        <v>12</v>
      </c>
      <c r="O2" s="111" t="s">
        <v>13</v>
      </c>
      <c r="P2" s="111" t="s">
        <v>14</v>
      </c>
      <c r="Q2" s="111" t="s">
        <v>15</v>
      </c>
      <c r="R2" s="111" t="s">
        <v>16</v>
      </c>
      <c r="S2" s="111" t="s">
        <v>17</v>
      </c>
      <c r="T2" s="111" t="s">
        <v>18</v>
      </c>
      <c r="U2" s="111" t="s">
        <v>19</v>
      </c>
    </row>
    <row r="3" spans="1:21">
      <c r="A3" s="98" t="s">
        <v>85</v>
      </c>
      <c r="B3" s="98" t="s">
        <v>125</v>
      </c>
      <c r="C3" s="98" t="s">
        <v>0</v>
      </c>
      <c r="D3" s="98" t="s">
        <v>124</v>
      </c>
      <c r="E3" s="98" t="s">
        <v>123</v>
      </c>
      <c r="F3" s="98" t="s">
        <v>122</v>
      </c>
      <c r="G3" s="98" t="s">
        <v>121</v>
      </c>
      <c r="H3" s="98" t="s">
        <v>120</v>
      </c>
      <c r="I3" s="98" t="s">
        <v>119</v>
      </c>
      <c r="J3" s="98" t="s">
        <v>118</v>
      </c>
      <c r="K3" s="98" t="s">
        <v>117</v>
      </c>
      <c r="L3" s="98" t="s">
        <v>116</v>
      </c>
      <c r="M3" s="98" t="s">
        <v>115</v>
      </c>
      <c r="N3" s="98" t="s">
        <v>114</v>
      </c>
      <c r="O3" s="98" t="s">
        <v>113</v>
      </c>
      <c r="P3" s="98" t="s">
        <v>112</v>
      </c>
      <c r="Q3" s="98" t="s">
        <v>111</v>
      </c>
      <c r="R3" s="98" t="s">
        <v>110</v>
      </c>
      <c r="S3" s="98" t="s">
        <v>109</v>
      </c>
      <c r="T3" s="98" t="s">
        <v>108</v>
      </c>
      <c r="U3" s="98" t="s">
        <v>107</v>
      </c>
    </row>
    <row r="4" spans="1:21">
      <c r="A4" s="98" t="s">
        <v>85</v>
      </c>
      <c r="B4" s="98" t="s">
        <v>105</v>
      </c>
      <c r="C4" s="108">
        <v>2500000</v>
      </c>
      <c r="D4" s="98" t="s">
        <v>85</v>
      </c>
      <c r="E4" s="98" t="s">
        <v>85</v>
      </c>
      <c r="F4" s="98">
        <v>613.75</v>
      </c>
      <c r="G4" s="98">
        <v>1250</v>
      </c>
      <c r="H4" s="107">
        <v>1275</v>
      </c>
      <c r="I4" s="107">
        <v>1725</v>
      </c>
      <c r="J4" s="107">
        <v>1975</v>
      </c>
      <c r="K4" s="107">
        <v>1950</v>
      </c>
      <c r="L4" s="107">
        <v>1800</v>
      </c>
      <c r="M4" s="107">
        <v>1475</v>
      </c>
      <c r="N4" s="107">
        <v>1100</v>
      </c>
      <c r="O4" s="107">
        <v>775</v>
      </c>
      <c r="P4" s="107">
        <v>475</v>
      </c>
      <c r="Q4" s="107">
        <v>281.75</v>
      </c>
      <c r="R4" s="107">
        <v>195</v>
      </c>
      <c r="S4" s="107">
        <v>108.25</v>
      </c>
      <c r="T4" s="107">
        <v>21.75</v>
      </c>
      <c r="U4" s="107" t="s">
        <v>85</v>
      </c>
    </row>
    <row r="5" spans="1:21">
      <c r="A5" s="98" t="s">
        <v>85</v>
      </c>
      <c r="B5" s="98" t="s">
        <v>106</v>
      </c>
      <c r="C5" s="108">
        <v>4500000</v>
      </c>
      <c r="D5" s="98" t="s">
        <v>85</v>
      </c>
      <c r="E5" s="98">
        <v>190.8</v>
      </c>
      <c r="F5" s="98">
        <v>2613.15</v>
      </c>
      <c r="G5" s="98">
        <v>3375</v>
      </c>
      <c r="H5" s="107">
        <v>4185.45</v>
      </c>
      <c r="I5" s="107">
        <v>4601.25</v>
      </c>
      <c r="J5" s="107">
        <v>4650.3</v>
      </c>
      <c r="K5" s="107">
        <v>4523.3999999999996</v>
      </c>
      <c r="L5" s="107">
        <v>4063.5</v>
      </c>
      <c r="M5" s="107">
        <v>3359.25</v>
      </c>
      <c r="N5" s="107">
        <v>2725.2</v>
      </c>
      <c r="O5" s="107">
        <v>2127.6</v>
      </c>
      <c r="P5" s="107">
        <v>1606.95</v>
      </c>
      <c r="Q5" s="107">
        <v>1206</v>
      </c>
      <c r="R5" s="107">
        <v>840.6</v>
      </c>
      <c r="S5" s="107">
        <v>436.9500000000001</v>
      </c>
      <c r="T5" s="107" t="s">
        <v>85</v>
      </c>
      <c r="U5" s="107" t="s">
        <v>85</v>
      </c>
    </row>
    <row r="6" spans="1:21">
      <c r="B6" s="105" t="s">
        <v>294</v>
      </c>
      <c r="C6" s="109">
        <v>5000000</v>
      </c>
      <c r="D6" s="105"/>
      <c r="E6" s="105"/>
      <c r="F6" s="105"/>
      <c r="G6" s="105"/>
      <c r="H6" s="110">
        <f>VLOOKUP(H$2,'Aggregated Median CA data'!$C$4:$M$18,11,0)*$C$6</f>
        <v>794613.90783267876</v>
      </c>
      <c r="I6" s="110">
        <f>VLOOKUP(I$2,'Aggregated Median CA data'!$C$4:$M$18,11,0)*$C$6</f>
        <v>1766321.2068379768</v>
      </c>
      <c r="J6" s="110">
        <f>VLOOKUP(J$2,'Aggregated Median CA data'!$C$4:$M$18,11,0)*$C$6</f>
        <v>2872939.7876834786</v>
      </c>
      <c r="K6" s="110">
        <f>VLOOKUP(K$2,'Aggregated Median CA data'!$C$4:$M$18,11,0)*$C$6</f>
        <v>3755020.6339925975</v>
      </c>
      <c r="L6" s="110">
        <f>VLOOKUP(L$2,'Aggregated Median CA data'!$C$4:$M$18,11,0)*$C$6</f>
        <v>4210381.9271947592</v>
      </c>
      <c r="M6" s="110">
        <f>VLOOKUP(M$2,'Aggregated Median CA data'!$C$4:$M$18,11,0)*$C$6</f>
        <v>4028828.7017289023</v>
      </c>
      <c r="N6" s="110">
        <f>VLOOKUP(N$2,'Aggregated Median CA data'!$C$4:$M$18,11,0)*$C$6</f>
        <v>3669092.4623549343</v>
      </c>
      <c r="O6" s="110">
        <f>VLOOKUP(O$2,'Aggregated Median CA data'!$C$4:$M$18,11,0)*$C$6</f>
        <v>3110268.3306296133</v>
      </c>
      <c r="P6" s="110">
        <f>VLOOKUP(P$2,'Aggregated Median CA data'!$C$4:$M$18,11,0)*$C$6</f>
        <v>2464457.4350238335</v>
      </c>
      <c r="Q6" s="110">
        <f>VLOOKUP(Q$2,'Aggregated Median CA data'!$C$4:$M$18,11,0)*$C$6</f>
        <v>2005474.7990590783</v>
      </c>
      <c r="R6" s="110">
        <f>VLOOKUP(R$2,'Aggregated Median CA data'!$C$4:$M$18,11,0)*$C$6</f>
        <v>1505721.535464633</v>
      </c>
      <c r="S6" s="110">
        <f>VLOOKUP(S$2,'Aggregated Median CA data'!$C$4:$M$18,11,0)*$C$6</f>
        <v>1156482.2755265655</v>
      </c>
      <c r="T6" s="110">
        <f>VLOOKUP(T$2,'Aggregated Median CA data'!$C$4:$M$18,11,0)*$C$6</f>
        <v>895784.12619291735</v>
      </c>
      <c r="U6" s="110">
        <f>VLOOKUP(U$2,'Aggregated Median CA data'!$C$4:$M$18,11,0)*$C$6</f>
        <v>773168.2018082788</v>
      </c>
    </row>
    <row r="7" spans="1:21">
      <c r="A7" s="98" t="s">
        <v>85</v>
      </c>
      <c r="B7" s="98" t="s">
        <v>87</v>
      </c>
      <c r="C7" s="108">
        <v>5000000</v>
      </c>
      <c r="D7" s="98" t="s">
        <v>85</v>
      </c>
      <c r="E7" s="98" t="s">
        <v>85</v>
      </c>
      <c r="F7" s="98">
        <v>1624.5</v>
      </c>
      <c r="G7" s="98">
        <v>3000</v>
      </c>
      <c r="H7" s="107">
        <v>8437</v>
      </c>
      <c r="I7" s="107">
        <v>9306.9999999999982</v>
      </c>
      <c r="J7" s="107">
        <v>9371.5</v>
      </c>
      <c r="K7" s="107">
        <v>9048</v>
      </c>
      <c r="L7" s="107">
        <v>8484.5</v>
      </c>
      <c r="M7" s="107">
        <v>6968.5</v>
      </c>
      <c r="N7" s="107">
        <v>5694.5</v>
      </c>
      <c r="O7" s="107">
        <v>4799</v>
      </c>
      <c r="P7" s="107">
        <v>3687.5</v>
      </c>
      <c r="Q7" s="107">
        <v>2946</v>
      </c>
      <c r="R7" s="107">
        <v>2188.5000000000005</v>
      </c>
      <c r="S7" s="107">
        <v>1609</v>
      </c>
      <c r="T7" s="107">
        <v>1174</v>
      </c>
      <c r="U7" s="107" t="s">
        <v>85</v>
      </c>
    </row>
    <row r="8" spans="1:21">
      <c r="A8" s="98" t="s">
        <v>85</v>
      </c>
      <c r="B8" s="98" t="s">
        <v>93</v>
      </c>
      <c r="C8" s="108">
        <v>5000000</v>
      </c>
      <c r="D8" s="98" t="s">
        <v>85</v>
      </c>
      <c r="E8" s="98" t="s">
        <v>85</v>
      </c>
      <c r="F8" s="98" t="s">
        <v>85</v>
      </c>
      <c r="G8" s="98" t="s">
        <v>85</v>
      </c>
      <c r="H8" s="107">
        <v>700</v>
      </c>
      <c r="I8" s="107">
        <v>1650</v>
      </c>
      <c r="J8" s="107">
        <v>2750</v>
      </c>
      <c r="K8" s="107">
        <v>3550</v>
      </c>
      <c r="L8" s="107">
        <v>3950</v>
      </c>
      <c r="M8" s="107">
        <v>3650</v>
      </c>
      <c r="N8" s="107">
        <v>3400</v>
      </c>
      <c r="O8" s="107">
        <v>2800</v>
      </c>
      <c r="P8" s="107">
        <v>2100</v>
      </c>
      <c r="Q8" s="107">
        <v>1450</v>
      </c>
      <c r="R8" s="107">
        <v>850</v>
      </c>
      <c r="S8" s="107">
        <v>520</v>
      </c>
      <c r="T8" s="107">
        <v>346.5</v>
      </c>
      <c r="U8" s="107">
        <v>173.5</v>
      </c>
    </row>
    <row r="9" spans="1:21">
      <c r="A9" s="98" t="s">
        <v>85</v>
      </c>
      <c r="B9" s="98" t="s">
        <v>95</v>
      </c>
      <c r="C9" s="108">
        <v>2500000</v>
      </c>
      <c r="D9" s="98" t="s">
        <v>85</v>
      </c>
      <c r="E9" s="98">
        <v>395.5</v>
      </c>
      <c r="F9" s="98">
        <v>1111</v>
      </c>
      <c r="G9" s="98">
        <v>1500</v>
      </c>
      <c r="H9" s="107">
        <v>1978.25</v>
      </c>
      <c r="I9" s="107">
        <v>2119.25</v>
      </c>
      <c r="J9" s="107">
        <v>2000.75</v>
      </c>
      <c r="K9" s="107">
        <v>2001.25</v>
      </c>
      <c r="L9" s="107">
        <v>1740.25</v>
      </c>
      <c r="M9" s="107">
        <v>1391.75</v>
      </c>
      <c r="N9" s="107">
        <v>1097.25</v>
      </c>
      <c r="O9" s="107">
        <v>769.75</v>
      </c>
      <c r="P9" s="107">
        <v>507</v>
      </c>
      <c r="Q9" s="107">
        <v>295.5</v>
      </c>
      <c r="R9" s="107">
        <v>177.5</v>
      </c>
      <c r="S9" s="107">
        <v>59.25</v>
      </c>
      <c r="T9" s="107" t="s">
        <v>85</v>
      </c>
      <c r="U9" s="107" t="s">
        <v>85</v>
      </c>
    </row>
    <row r="10" spans="1:21">
      <c r="A10" s="98" t="s">
        <v>85</v>
      </c>
      <c r="B10" s="98" t="s">
        <v>98</v>
      </c>
      <c r="C10" s="108">
        <v>5000000</v>
      </c>
      <c r="D10" s="98" t="s">
        <v>85</v>
      </c>
      <c r="E10" s="98" t="s">
        <v>85</v>
      </c>
      <c r="F10" s="98">
        <v>829.5</v>
      </c>
      <c r="G10" s="98">
        <v>1950</v>
      </c>
      <c r="H10" s="107">
        <v>2150</v>
      </c>
      <c r="I10" s="107">
        <v>3300</v>
      </c>
      <c r="J10" s="107">
        <v>4100</v>
      </c>
      <c r="K10" s="107">
        <v>4300</v>
      </c>
      <c r="L10" s="107">
        <v>3850</v>
      </c>
      <c r="M10" s="107">
        <v>3750</v>
      </c>
      <c r="N10" s="107">
        <v>3150</v>
      </c>
      <c r="O10" s="107">
        <v>2300</v>
      </c>
      <c r="P10" s="107">
        <v>1600</v>
      </c>
      <c r="Q10" s="107">
        <v>1150</v>
      </c>
      <c r="R10" s="107">
        <v>589.49999999999989</v>
      </c>
      <c r="S10" s="107">
        <v>375</v>
      </c>
      <c r="T10" s="107">
        <v>160.5</v>
      </c>
      <c r="U10" s="107" t="s">
        <v>85</v>
      </c>
    </row>
    <row r="11" spans="1:21">
      <c r="A11" s="98" t="s">
        <v>85</v>
      </c>
      <c r="B11" s="98" t="s">
        <v>104</v>
      </c>
      <c r="C11" s="108">
        <v>2500000</v>
      </c>
      <c r="D11" s="98">
        <v>26.25</v>
      </c>
      <c r="E11" s="98">
        <v>974</v>
      </c>
      <c r="F11" s="98">
        <v>2317.25</v>
      </c>
      <c r="G11" s="98">
        <v>1825</v>
      </c>
      <c r="H11" s="107">
        <v>4202.7500000000009</v>
      </c>
      <c r="I11" s="107">
        <v>3712.5</v>
      </c>
      <c r="J11" s="107">
        <v>3254.75</v>
      </c>
      <c r="K11" s="107">
        <v>2689.25</v>
      </c>
      <c r="L11" s="107">
        <v>2031</v>
      </c>
      <c r="M11" s="107">
        <v>1502.5</v>
      </c>
      <c r="N11" s="107">
        <v>1278.25</v>
      </c>
      <c r="O11" s="107">
        <v>878.75</v>
      </c>
      <c r="P11" s="107">
        <v>505.75</v>
      </c>
      <c r="Q11" s="107">
        <v>309.24999999999994</v>
      </c>
      <c r="R11" s="107">
        <v>132.5</v>
      </c>
      <c r="S11" s="107" t="s">
        <v>85</v>
      </c>
      <c r="T11" s="107" t="s">
        <v>85</v>
      </c>
      <c r="U11" s="107" t="s">
        <v>85</v>
      </c>
    </row>
    <row r="12" spans="1:21">
      <c r="A12" s="98" t="s">
        <v>85</v>
      </c>
      <c r="B12" s="98" t="s">
        <v>86</v>
      </c>
      <c r="C12" s="108">
        <v>2500000</v>
      </c>
      <c r="D12" s="98" t="s">
        <v>85</v>
      </c>
      <c r="E12" s="98" t="s">
        <v>85</v>
      </c>
      <c r="F12" s="98" t="s">
        <v>85</v>
      </c>
      <c r="G12" s="98">
        <v>550</v>
      </c>
      <c r="H12" s="107">
        <v>1000</v>
      </c>
      <c r="I12" s="107">
        <v>1675</v>
      </c>
      <c r="J12" s="107">
        <v>1950</v>
      </c>
      <c r="K12" s="107">
        <v>1875</v>
      </c>
      <c r="L12" s="107">
        <v>1600</v>
      </c>
      <c r="M12" s="107">
        <v>1225</v>
      </c>
      <c r="N12" s="107">
        <v>850</v>
      </c>
      <c r="O12" s="107">
        <v>525</v>
      </c>
      <c r="P12" s="107">
        <v>358.75</v>
      </c>
      <c r="Q12" s="107">
        <v>293.5</v>
      </c>
      <c r="R12" s="107">
        <v>228.25000000000003</v>
      </c>
      <c r="S12" s="107">
        <v>162.99999999999997</v>
      </c>
      <c r="T12" s="107">
        <v>97.75</v>
      </c>
      <c r="U12" s="107">
        <v>32.5</v>
      </c>
    </row>
    <row r="13" spans="1:21">
      <c r="A13" s="98" t="s">
        <v>85</v>
      </c>
      <c r="B13" s="98" t="s">
        <v>101</v>
      </c>
      <c r="C13" s="108">
        <v>2000000</v>
      </c>
      <c r="D13" s="98" t="s">
        <v>85</v>
      </c>
      <c r="E13" s="98" t="s">
        <v>85</v>
      </c>
      <c r="F13" s="98">
        <v>1182</v>
      </c>
      <c r="G13" s="98">
        <v>1160</v>
      </c>
      <c r="H13" s="107">
        <v>3913</v>
      </c>
      <c r="I13" s="107">
        <v>4730.3999999999996</v>
      </c>
      <c r="J13" s="107">
        <v>4751.6000000000004</v>
      </c>
      <c r="K13" s="107">
        <v>4515</v>
      </c>
      <c r="L13" s="107">
        <v>3882.2</v>
      </c>
      <c r="M13" s="107">
        <v>3871.4</v>
      </c>
      <c r="N13" s="107">
        <v>3415</v>
      </c>
      <c r="O13" s="107">
        <v>2583.6</v>
      </c>
      <c r="P13" s="107">
        <v>2274.4</v>
      </c>
      <c r="Q13" s="107">
        <v>1668.8</v>
      </c>
      <c r="R13" s="107">
        <v>1247.5999999999999</v>
      </c>
      <c r="S13" s="107">
        <v>1109.8</v>
      </c>
      <c r="T13" s="107">
        <v>934</v>
      </c>
      <c r="U13" s="107" t="s">
        <v>85</v>
      </c>
    </row>
    <row r="14" spans="1:21">
      <c r="A14" s="98" t="s">
        <v>85</v>
      </c>
      <c r="B14" s="98" t="s">
        <v>103</v>
      </c>
      <c r="C14" s="108">
        <v>4500000</v>
      </c>
      <c r="D14" s="98" t="s">
        <v>85</v>
      </c>
      <c r="E14" s="98">
        <v>1012.95</v>
      </c>
      <c r="F14" s="98">
        <v>1568.25</v>
      </c>
      <c r="G14" s="98">
        <v>2205</v>
      </c>
      <c r="H14" s="107">
        <v>5792.85</v>
      </c>
      <c r="I14" s="107">
        <v>6023.7000000000016</v>
      </c>
      <c r="J14" s="107">
        <v>5755.95</v>
      </c>
      <c r="K14" s="107">
        <v>5236.2</v>
      </c>
      <c r="L14" s="107">
        <v>4538.7</v>
      </c>
      <c r="M14" s="107">
        <v>3677.85</v>
      </c>
      <c r="N14" s="107">
        <v>2886.75</v>
      </c>
      <c r="O14" s="107">
        <v>2087.1</v>
      </c>
      <c r="P14" s="107">
        <v>1524.15</v>
      </c>
      <c r="Q14" s="107">
        <v>1080</v>
      </c>
      <c r="R14" s="107">
        <v>774</v>
      </c>
      <c r="S14" s="107">
        <v>239.85</v>
      </c>
      <c r="T14" s="107" t="s">
        <v>85</v>
      </c>
      <c r="U14" s="107" t="s">
        <v>85</v>
      </c>
    </row>
    <row r="15" spans="1:21">
      <c r="A15" s="98" t="s">
        <v>85</v>
      </c>
      <c r="B15" s="98" t="s">
        <v>90</v>
      </c>
      <c r="C15" s="108">
        <v>4000000</v>
      </c>
      <c r="D15" s="98" t="s">
        <v>85</v>
      </c>
      <c r="E15" s="98" t="s">
        <v>85</v>
      </c>
      <c r="F15" s="98">
        <v>730.8</v>
      </c>
      <c r="G15" s="98">
        <v>1520</v>
      </c>
      <c r="H15" s="107">
        <v>2040</v>
      </c>
      <c r="I15" s="107">
        <v>2760</v>
      </c>
      <c r="J15" s="107">
        <v>3160</v>
      </c>
      <c r="K15" s="107">
        <v>3120</v>
      </c>
      <c r="L15" s="107">
        <v>2880</v>
      </c>
      <c r="M15" s="107">
        <v>2360</v>
      </c>
      <c r="N15" s="107">
        <v>1760</v>
      </c>
      <c r="O15" s="107">
        <v>1240</v>
      </c>
      <c r="P15" s="107">
        <v>760</v>
      </c>
      <c r="Q15" s="107">
        <v>450.8</v>
      </c>
      <c r="R15" s="107">
        <v>312</v>
      </c>
      <c r="S15" s="107">
        <v>173.2</v>
      </c>
      <c r="T15" s="107">
        <v>34.799999999999997</v>
      </c>
      <c r="U15" s="107" t="s">
        <v>85</v>
      </c>
    </row>
    <row r="16" spans="1:21">
      <c r="A16" s="98" t="s">
        <v>85</v>
      </c>
      <c r="B16" s="98" t="s">
        <v>94</v>
      </c>
      <c r="C16" s="108">
        <v>2500000</v>
      </c>
      <c r="D16" s="98" t="s">
        <v>85</v>
      </c>
      <c r="E16" s="98" t="s">
        <v>85</v>
      </c>
      <c r="F16" s="98" t="s">
        <v>85</v>
      </c>
      <c r="G16" s="98">
        <v>650</v>
      </c>
      <c r="H16" s="107">
        <v>850</v>
      </c>
      <c r="I16" s="107">
        <v>1500</v>
      </c>
      <c r="J16" s="107">
        <v>2025</v>
      </c>
      <c r="K16" s="107">
        <v>2225</v>
      </c>
      <c r="L16" s="107">
        <v>2150</v>
      </c>
      <c r="M16" s="107">
        <v>1950</v>
      </c>
      <c r="N16" s="107">
        <v>1575</v>
      </c>
      <c r="O16" s="107">
        <v>1325</v>
      </c>
      <c r="P16" s="107">
        <v>1075</v>
      </c>
      <c r="Q16" s="107">
        <v>775</v>
      </c>
      <c r="R16" s="107">
        <v>500</v>
      </c>
      <c r="S16" s="107">
        <v>306.75</v>
      </c>
      <c r="T16" s="107">
        <v>170.5</v>
      </c>
      <c r="U16" s="107">
        <v>34.000000000000007</v>
      </c>
    </row>
    <row r="17" spans="1:21">
      <c r="A17" s="98" t="s">
        <v>85</v>
      </c>
      <c r="B17" s="98" t="s">
        <v>88</v>
      </c>
      <c r="C17" s="108">
        <v>3000000</v>
      </c>
      <c r="D17" s="98" t="s">
        <v>85</v>
      </c>
      <c r="E17" s="98" t="s">
        <v>85</v>
      </c>
      <c r="F17" s="98" t="s">
        <v>85</v>
      </c>
      <c r="G17" s="98">
        <v>930</v>
      </c>
      <c r="H17" s="107">
        <v>1500</v>
      </c>
      <c r="I17" s="107">
        <v>2280</v>
      </c>
      <c r="J17" s="107">
        <v>2340</v>
      </c>
      <c r="K17" s="107">
        <v>2070</v>
      </c>
      <c r="L17" s="107">
        <v>1620</v>
      </c>
      <c r="M17" s="107">
        <v>1170</v>
      </c>
      <c r="N17" s="107">
        <v>810</v>
      </c>
      <c r="O17" s="107">
        <v>480</v>
      </c>
      <c r="P17" s="107">
        <v>365.1</v>
      </c>
      <c r="Q17" s="107">
        <v>292.2</v>
      </c>
      <c r="R17" s="107">
        <v>219</v>
      </c>
      <c r="S17" s="107">
        <v>146.1</v>
      </c>
      <c r="T17" s="107">
        <v>72.900000000000006</v>
      </c>
      <c r="U17" s="107" t="s">
        <v>85</v>
      </c>
    </row>
    <row r="18" spans="1:21">
      <c r="A18" s="98" t="s">
        <v>85</v>
      </c>
      <c r="B18" s="98" t="s">
        <v>99</v>
      </c>
      <c r="C18" s="108">
        <v>2500000</v>
      </c>
      <c r="D18" s="98" t="s">
        <v>85</v>
      </c>
      <c r="E18" s="98" t="s">
        <v>85</v>
      </c>
      <c r="F18" s="98">
        <v>320.25</v>
      </c>
      <c r="G18" s="98">
        <v>1000</v>
      </c>
      <c r="H18" s="107">
        <v>950</v>
      </c>
      <c r="I18" s="107">
        <v>1500</v>
      </c>
      <c r="J18" s="107">
        <v>1850</v>
      </c>
      <c r="K18" s="107">
        <v>1975</v>
      </c>
      <c r="L18" s="107">
        <v>1850</v>
      </c>
      <c r="M18" s="107">
        <v>1700</v>
      </c>
      <c r="N18" s="107">
        <v>1325</v>
      </c>
      <c r="O18" s="107">
        <v>950</v>
      </c>
      <c r="P18" s="107">
        <v>675</v>
      </c>
      <c r="Q18" s="107">
        <v>400</v>
      </c>
      <c r="R18" s="107">
        <v>238.25</v>
      </c>
      <c r="S18" s="107">
        <v>151.75</v>
      </c>
      <c r="T18" s="107">
        <v>65</v>
      </c>
      <c r="U18" s="107" t="s">
        <v>85</v>
      </c>
    </row>
    <row r="19" spans="1:21">
      <c r="A19" s="98" t="s">
        <v>85</v>
      </c>
      <c r="B19" s="98" t="s">
        <v>97</v>
      </c>
      <c r="C19" s="108">
        <v>2500000</v>
      </c>
      <c r="D19" s="98" t="s">
        <v>85</v>
      </c>
      <c r="E19" s="98" t="s">
        <v>85</v>
      </c>
      <c r="F19" s="98">
        <v>969</v>
      </c>
      <c r="G19" s="98">
        <v>1575</v>
      </c>
      <c r="H19" s="107">
        <v>1200</v>
      </c>
      <c r="I19" s="107">
        <v>1725</v>
      </c>
      <c r="J19" s="107">
        <v>2025</v>
      </c>
      <c r="K19" s="107">
        <v>2075</v>
      </c>
      <c r="L19" s="107">
        <v>1950</v>
      </c>
      <c r="M19" s="107">
        <v>1700</v>
      </c>
      <c r="N19" s="107">
        <v>1425</v>
      </c>
      <c r="O19" s="107">
        <v>975</v>
      </c>
      <c r="P19" s="107">
        <v>700</v>
      </c>
      <c r="Q19" s="107">
        <v>500</v>
      </c>
      <c r="R19" s="107">
        <v>267.75000000000006</v>
      </c>
      <c r="S19" s="107">
        <v>160.75</v>
      </c>
      <c r="T19" s="107">
        <v>53.5</v>
      </c>
      <c r="U19" s="107" t="s">
        <v>85</v>
      </c>
    </row>
    <row r="20" spans="1:21">
      <c r="A20" s="98" t="s">
        <v>85</v>
      </c>
      <c r="B20" s="98" t="s">
        <v>96</v>
      </c>
      <c r="C20" s="108">
        <v>2000000</v>
      </c>
      <c r="D20" s="98" t="s">
        <v>85</v>
      </c>
      <c r="E20" s="98">
        <v>220.8</v>
      </c>
      <c r="F20" s="98">
        <v>279.60000000000002</v>
      </c>
      <c r="G20" s="98">
        <v>700</v>
      </c>
      <c r="H20" s="107">
        <v>1402.4</v>
      </c>
      <c r="I20" s="107">
        <v>1178.5999999999999</v>
      </c>
      <c r="J20" s="107">
        <v>833.4</v>
      </c>
      <c r="K20" s="107">
        <v>542.79999999999995</v>
      </c>
      <c r="L20" s="107">
        <v>348.4</v>
      </c>
      <c r="M20" s="107">
        <v>230</v>
      </c>
      <c r="N20" s="107">
        <v>194.6</v>
      </c>
      <c r="O20" s="107">
        <v>159.19999999999999</v>
      </c>
      <c r="P20" s="107">
        <v>123.8</v>
      </c>
      <c r="Q20" s="107">
        <v>88.4</v>
      </c>
      <c r="R20" s="107">
        <v>53</v>
      </c>
      <c r="S20" s="107">
        <v>17.600000000000001</v>
      </c>
      <c r="T20" s="107" t="s">
        <v>85</v>
      </c>
      <c r="U20" s="107" t="s">
        <v>85</v>
      </c>
    </row>
    <row r="21" spans="1:21">
      <c r="A21" s="98" t="s">
        <v>85</v>
      </c>
      <c r="B21" s="98" t="s">
        <v>102</v>
      </c>
      <c r="C21" s="108">
        <v>1500000</v>
      </c>
      <c r="D21" s="98" t="s">
        <v>85</v>
      </c>
      <c r="E21" s="98">
        <v>164.55</v>
      </c>
      <c r="F21" s="98">
        <v>673.95</v>
      </c>
      <c r="G21" s="98">
        <v>885</v>
      </c>
      <c r="H21" s="107">
        <v>1736.7</v>
      </c>
      <c r="I21" s="107">
        <v>1575.6</v>
      </c>
      <c r="J21" s="107">
        <v>1315.95</v>
      </c>
      <c r="K21" s="107">
        <v>1068.75</v>
      </c>
      <c r="L21" s="107">
        <v>823.2</v>
      </c>
      <c r="M21" s="107">
        <v>606.45000000000005</v>
      </c>
      <c r="N21" s="107">
        <v>447.45</v>
      </c>
      <c r="O21" s="107">
        <v>301.35000000000002</v>
      </c>
      <c r="P21" s="107">
        <v>239.1</v>
      </c>
      <c r="Q21" s="107">
        <v>159.29999999999998</v>
      </c>
      <c r="R21" s="107">
        <v>95.55</v>
      </c>
      <c r="S21" s="107">
        <v>31.8</v>
      </c>
      <c r="T21" s="107" t="s">
        <v>85</v>
      </c>
      <c r="U21" s="107" t="s">
        <v>85</v>
      </c>
    </row>
    <row r="22" spans="1:21">
      <c r="A22" s="98" t="s">
        <v>85</v>
      </c>
      <c r="B22" s="98" t="s">
        <v>89</v>
      </c>
      <c r="C22" s="108">
        <v>3500000</v>
      </c>
      <c r="D22" s="98" t="s">
        <v>85</v>
      </c>
      <c r="E22" s="98" t="s">
        <v>85</v>
      </c>
      <c r="F22" s="98" t="s">
        <v>85</v>
      </c>
      <c r="G22" s="98">
        <v>700</v>
      </c>
      <c r="H22" s="107">
        <v>1750</v>
      </c>
      <c r="I22" s="107">
        <v>2660</v>
      </c>
      <c r="J22" s="107">
        <v>2730</v>
      </c>
      <c r="K22" s="107">
        <v>2415</v>
      </c>
      <c r="L22" s="107">
        <v>1890</v>
      </c>
      <c r="M22" s="107">
        <v>1365</v>
      </c>
      <c r="N22" s="107">
        <v>945</v>
      </c>
      <c r="O22" s="107">
        <v>560</v>
      </c>
      <c r="P22" s="107">
        <v>425.95</v>
      </c>
      <c r="Q22" s="107">
        <v>340.9</v>
      </c>
      <c r="R22" s="107">
        <v>255.5</v>
      </c>
      <c r="S22" s="107">
        <v>170.45</v>
      </c>
      <c r="T22" s="107">
        <v>85.05</v>
      </c>
      <c r="U22" s="107" t="s">
        <v>85</v>
      </c>
    </row>
    <row r="23" spans="1:21">
      <c r="A23" s="98" t="s">
        <v>85</v>
      </c>
      <c r="B23" s="98" t="s">
        <v>92</v>
      </c>
      <c r="C23" s="108">
        <v>2500000</v>
      </c>
      <c r="D23" s="98" t="s">
        <v>85</v>
      </c>
      <c r="E23" s="98" t="s">
        <v>85</v>
      </c>
      <c r="F23" s="98">
        <v>683</v>
      </c>
      <c r="G23" s="98">
        <v>1000</v>
      </c>
      <c r="H23" s="107">
        <v>1800</v>
      </c>
      <c r="I23" s="107">
        <v>2000</v>
      </c>
      <c r="J23" s="107">
        <v>1850</v>
      </c>
      <c r="K23" s="107">
        <v>1525</v>
      </c>
      <c r="L23" s="107">
        <v>1150</v>
      </c>
      <c r="M23" s="107">
        <v>750</v>
      </c>
      <c r="N23" s="107">
        <v>475</v>
      </c>
      <c r="O23" s="107">
        <v>342.5</v>
      </c>
      <c r="P23" s="107">
        <v>277.25</v>
      </c>
      <c r="Q23" s="107">
        <v>212</v>
      </c>
      <c r="R23" s="107">
        <v>146.75</v>
      </c>
      <c r="S23" s="107">
        <v>81.499999999999986</v>
      </c>
      <c r="T23" s="107">
        <v>16.25</v>
      </c>
      <c r="U23" s="107" t="s">
        <v>85</v>
      </c>
    </row>
    <row r="24" spans="1:21">
      <c r="A24" s="98" t="s">
        <v>85</v>
      </c>
      <c r="B24" s="98" t="s">
        <v>100</v>
      </c>
      <c r="C24" s="108">
        <v>2500000</v>
      </c>
      <c r="D24" s="98" t="s">
        <v>85</v>
      </c>
      <c r="E24" s="98" t="s">
        <v>85</v>
      </c>
      <c r="F24" s="98" t="s">
        <v>85</v>
      </c>
      <c r="G24" s="98" t="s">
        <v>85</v>
      </c>
      <c r="H24" s="107">
        <v>600</v>
      </c>
      <c r="I24" s="107">
        <v>1300</v>
      </c>
      <c r="J24" s="107">
        <v>1875</v>
      </c>
      <c r="K24" s="107">
        <v>1950</v>
      </c>
      <c r="L24" s="107">
        <v>1800</v>
      </c>
      <c r="M24" s="107">
        <v>1400</v>
      </c>
      <c r="N24" s="107">
        <v>1025</v>
      </c>
      <c r="O24" s="107">
        <v>675</v>
      </c>
      <c r="P24" s="107">
        <v>450</v>
      </c>
      <c r="Q24" s="107">
        <v>325.99999999999994</v>
      </c>
      <c r="R24" s="107">
        <v>260.75</v>
      </c>
      <c r="S24" s="107">
        <v>195.75</v>
      </c>
      <c r="T24" s="107">
        <v>130.5</v>
      </c>
      <c r="U24" s="107">
        <v>65.25</v>
      </c>
    </row>
    <row r="25" spans="1:21">
      <c r="A25" s="98" t="s">
        <v>85</v>
      </c>
      <c r="B25" s="98" t="s">
        <v>91</v>
      </c>
      <c r="C25" s="108">
        <v>2500000</v>
      </c>
      <c r="D25" s="98" t="s">
        <v>85</v>
      </c>
      <c r="E25" s="98">
        <v>2517.7499999999995</v>
      </c>
      <c r="F25" s="98">
        <v>379</v>
      </c>
      <c r="G25" s="98">
        <v>-500</v>
      </c>
      <c r="H25" s="107">
        <v>20.75</v>
      </c>
      <c r="I25" s="107">
        <v>12.5</v>
      </c>
      <c r="J25" s="107">
        <v>9</v>
      </c>
      <c r="K25" s="107">
        <v>6</v>
      </c>
      <c r="L25" s="107">
        <v>4.2500000000000009</v>
      </c>
      <c r="M25" s="107">
        <v>3.5000000000000004</v>
      </c>
      <c r="N25" s="107">
        <v>3</v>
      </c>
      <c r="O25" s="107">
        <v>2.25</v>
      </c>
      <c r="P25" s="107">
        <v>1.7500000000000002</v>
      </c>
      <c r="Q25" s="107">
        <v>1.25</v>
      </c>
      <c r="R25" s="107">
        <v>0.75</v>
      </c>
      <c r="S25" s="107">
        <v>0.25</v>
      </c>
      <c r="T25" s="107" t="s">
        <v>85</v>
      </c>
      <c r="U25" s="107" t="s">
        <v>85</v>
      </c>
    </row>
  </sheetData>
  <autoFilter ref="A3:U25" xr:uid="{635E3504-D5E8-43D9-BB3F-7EBC518E19A0}">
    <sortState xmlns:xlrd2="http://schemas.microsoft.com/office/spreadsheetml/2017/richdata2" ref="A4:U25">
      <sortCondition ref="B3:B25"/>
    </sortState>
  </autoFilter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DEB-AF8E-47FE-A19D-83D08E3B97AD}">
  <sheetPr codeName="Sheet12">
    <tabColor theme="4"/>
  </sheetPr>
  <dimension ref="A1:U25"/>
  <sheetViews>
    <sheetView topLeftCell="B1" zoomScale="70" zoomScaleNormal="70" workbookViewId="0">
      <selection activeCell="D29" sqref="D29"/>
    </sheetView>
  </sheetViews>
  <sheetFormatPr defaultRowHeight="11.25" outlineLevelCol="1"/>
  <cols>
    <col min="1" max="1" width="14.28515625" style="98" customWidth="1"/>
    <col min="2" max="2" width="50" style="98" customWidth="1"/>
    <col min="3" max="3" width="30" style="98" customWidth="1"/>
    <col min="4" max="7" width="20" style="98" hidden="1" customWidth="1" outlineLevel="1"/>
    <col min="8" max="8" width="20" style="98" customWidth="1" collapsed="1"/>
    <col min="9" max="21" width="20" style="98" customWidth="1"/>
    <col min="22" max="16384" width="9.140625" style="98"/>
  </cols>
  <sheetData>
    <row r="1" spans="1:21">
      <c r="B1" s="99" t="s">
        <v>1</v>
      </c>
      <c r="C1" s="100">
        <f>SUM(C4:C25)</f>
        <v>70000000</v>
      </c>
      <c r="D1" s="99"/>
      <c r="E1" s="99"/>
      <c r="F1" s="99"/>
      <c r="G1" s="99"/>
      <c r="H1" s="101">
        <f>-SUM(H4:H25)</f>
        <v>-870334.66799054644</v>
      </c>
      <c r="I1" s="101">
        <f t="shared" ref="I1:U1" si="0">-SUM(I4:I25)</f>
        <v>-1003522.3229162287</v>
      </c>
      <c r="J1" s="101">
        <f t="shared" si="0"/>
        <v>-1070068.1635774616</v>
      </c>
      <c r="K1" s="101">
        <f t="shared" si="0"/>
        <v>-931390.04275973828</v>
      </c>
      <c r="L1" s="101">
        <f t="shared" si="0"/>
        <v>-580353.70573824795</v>
      </c>
      <c r="M1" s="101">
        <f t="shared" si="0"/>
        <v>-294308.2897781505</v>
      </c>
      <c r="N1" s="101">
        <f t="shared" si="0"/>
        <v>-133187.10454210133</v>
      </c>
      <c r="O1" s="101">
        <f t="shared" si="0"/>
        <v>-78279.693044710424</v>
      </c>
      <c r="P1" s="101">
        <f t="shared" si="0"/>
        <v>-29791.678127761195</v>
      </c>
      <c r="Q1" s="101">
        <f t="shared" si="0"/>
        <v>-20632.477055179013</v>
      </c>
      <c r="R1" s="101">
        <f t="shared" si="0"/>
        <v>-13674.566320524662</v>
      </c>
      <c r="S1" s="101">
        <f t="shared" si="0"/>
        <v>-7479.7363267617975</v>
      </c>
      <c r="T1" s="101">
        <f t="shared" si="0"/>
        <v>-5424.1637691657552</v>
      </c>
      <c r="U1" s="101">
        <f t="shared" si="0"/>
        <v>-455.98456165696354</v>
      </c>
    </row>
    <row r="2" spans="1:21">
      <c r="H2" s="111" t="s">
        <v>6</v>
      </c>
      <c r="I2" s="111" t="s">
        <v>7</v>
      </c>
      <c r="J2" s="111" t="s">
        <v>8</v>
      </c>
      <c r="K2" s="111" t="s">
        <v>9</v>
      </c>
      <c r="L2" s="111" t="s">
        <v>10</v>
      </c>
      <c r="M2" s="111" t="s">
        <v>11</v>
      </c>
      <c r="N2" s="111" t="s">
        <v>12</v>
      </c>
      <c r="O2" s="111" t="s">
        <v>13</v>
      </c>
      <c r="P2" s="111" t="s">
        <v>14</v>
      </c>
      <c r="Q2" s="111" t="s">
        <v>15</v>
      </c>
      <c r="R2" s="111" t="s">
        <v>16</v>
      </c>
      <c r="S2" s="111" t="s">
        <v>17</v>
      </c>
      <c r="T2" s="111" t="s">
        <v>18</v>
      </c>
      <c r="U2" s="111" t="s">
        <v>19</v>
      </c>
    </row>
    <row r="3" spans="1:21">
      <c r="A3" s="98" t="s">
        <v>85</v>
      </c>
      <c r="B3" s="98" t="s">
        <v>125</v>
      </c>
      <c r="C3" s="98" t="s">
        <v>0</v>
      </c>
      <c r="D3" s="98" t="s">
        <v>124</v>
      </c>
      <c r="E3" s="98" t="s">
        <v>123</v>
      </c>
      <c r="F3" s="98" t="s">
        <v>122</v>
      </c>
      <c r="G3" s="98" t="s">
        <v>121</v>
      </c>
      <c r="H3" s="98" t="s">
        <v>120</v>
      </c>
      <c r="I3" s="98" t="s">
        <v>119</v>
      </c>
      <c r="J3" s="98" t="s">
        <v>118</v>
      </c>
      <c r="K3" s="98" t="s">
        <v>117</v>
      </c>
      <c r="L3" s="98" t="s">
        <v>116</v>
      </c>
      <c r="M3" s="98" t="s">
        <v>115</v>
      </c>
      <c r="N3" s="98" t="s">
        <v>114</v>
      </c>
      <c r="O3" s="98" t="s">
        <v>113</v>
      </c>
      <c r="P3" s="98" t="s">
        <v>112</v>
      </c>
      <c r="Q3" s="98" t="s">
        <v>111</v>
      </c>
      <c r="R3" s="98" t="s">
        <v>110</v>
      </c>
      <c r="S3" s="98" t="s">
        <v>109</v>
      </c>
      <c r="T3" s="98" t="s">
        <v>108</v>
      </c>
      <c r="U3" s="98" t="s">
        <v>107</v>
      </c>
    </row>
    <row r="4" spans="1:21">
      <c r="A4" s="98" t="s">
        <v>85</v>
      </c>
      <c r="B4" s="98" t="s">
        <v>105</v>
      </c>
      <c r="C4" s="108">
        <v>2500000</v>
      </c>
      <c r="D4" s="98" t="s">
        <v>85</v>
      </c>
      <c r="E4" s="98" t="s">
        <v>85</v>
      </c>
      <c r="F4" s="98">
        <v>620.74999999999989</v>
      </c>
      <c r="G4" s="98">
        <v>641.5</v>
      </c>
      <c r="H4" s="107">
        <v>10.5</v>
      </c>
      <c r="I4" s="107">
        <v>500</v>
      </c>
      <c r="J4" s="107">
        <v>325</v>
      </c>
      <c r="K4" s="107">
        <v>175</v>
      </c>
      <c r="L4" s="107">
        <v>75</v>
      </c>
      <c r="M4" s="107">
        <v>50</v>
      </c>
      <c r="N4" s="107">
        <v>25</v>
      </c>
      <c r="O4" s="107">
        <v>25</v>
      </c>
      <c r="P4" s="107">
        <v>25</v>
      </c>
      <c r="Q4" s="107">
        <v>0</v>
      </c>
      <c r="R4" s="107">
        <v>0</v>
      </c>
      <c r="S4" s="107">
        <v>0</v>
      </c>
      <c r="T4" s="107">
        <v>0</v>
      </c>
      <c r="U4" s="107" t="s">
        <v>85</v>
      </c>
    </row>
    <row r="5" spans="1:21">
      <c r="A5" s="98" t="s">
        <v>85</v>
      </c>
      <c r="B5" s="98" t="s">
        <v>106</v>
      </c>
      <c r="C5" s="108">
        <v>4500000</v>
      </c>
      <c r="D5" s="98" t="s">
        <v>85</v>
      </c>
      <c r="E5" s="98">
        <v>66.150000000000006</v>
      </c>
      <c r="F5" s="98">
        <v>2120.85</v>
      </c>
      <c r="G5" s="98">
        <v>1457.1</v>
      </c>
      <c r="H5" s="107">
        <v>314.55</v>
      </c>
      <c r="I5" s="107">
        <v>342</v>
      </c>
      <c r="J5" s="107">
        <v>171</v>
      </c>
      <c r="K5" s="107">
        <v>126</v>
      </c>
      <c r="L5" s="107">
        <v>81</v>
      </c>
      <c r="M5" s="107">
        <v>45</v>
      </c>
      <c r="N5" s="107">
        <v>72</v>
      </c>
      <c r="O5" s="107">
        <v>9</v>
      </c>
      <c r="P5" s="107">
        <v>0</v>
      </c>
      <c r="Q5" s="107">
        <v>81</v>
      </c>
      <c r="R5" s="107">
        <v>36</v>
      </c>
      <c r="S5" s="107">
        <v>0</v>
      </c>
      <c r="T5" s="107" t="s">
        <v>85</v>
      </c>
      <c r="U5" s="107" t="s">
        <v>85</v>
      </c>
    </row>
    <row r="6" spans="1:21">
      <c r="B6" s="105" t="s">
        <v>294</v>
      </c>
      <c r="C6" s="109">
        <v>5000000</v>
      </c>
      <c r="H6" s="110">
        <f>-VLOOKUP(H$2,'Aggregated Median CA data'!$C$4:$M$18,8,0)*$C$6</f>
        <v>861661.61799054651</v>
      </c>
      <c r="I6" s="110">
        <f>-VLOOKUP(I$2,'Aggregated Median CA data'!$C$4:$M$18,8,0)*$C$6</f>
        <v>992982.12291622872</v>
      </c>
      <c r="J6" s="110">
        <f>-VLOOKUP(J$2,'Aggregated Median CA data'!$C$4:$M$18,8,0)*$C$6</f>
        <v>1063254.6135774616</v>
      </c>
      <c r="K6" s="110">
        <f>-VLOOKUP(K$2,'Aggregated Median CA data'!$C$4:$M$18,8,0)*$C$6</f>
        <v>927370.89275973826</v>
      </c>
      <c r="L6" s="110">
        <f>-VLOOKUP(L$2,'Aggregated Median CA data'!$C$4:$M$18,8,0)*$C$6</f>
        <v>578227.60573824786</v>
      </c>
      <c r="M6" s="110">
        <f>-VLOOKUP(M$2,'Aggregated Median CA data'!$C$4:$M$18,8,0)*$C$6</f>
        <v>293318.88977815054</v>
      </c>
      <c r="N6" s="110">
        <f>-VLOOKUP(N$2,'Aggregated Median CA data'!$C$4:$M$18,8,0)*$C$6</f>
        <v>132486.40454210131</v>
      </c>
      <c r="O6" s="110">
        <f>-VLOOKUP(O$2,'Aggregated Median CA data'!$C$4:$M$18,8,0)*$C$6</f>
        <v>77938.593044710418</v>
      </c>
      <c r="P6" s="110">
        <f>-VLOOKUP(P$2,'Aggregated Median CA data'!$C$4:$M$18,8,0)*$C$6</f>
        <v>29415.528127761194</v>
      </c>
      <c r="Q6" s="110">
        <f>-VLOOKUP(Q$2,'Aggregated Median CA data'!$C$4:$M$18,8,0)*$C$6</f>
        <v>20449.077055179012</v>
      </c>
      <c r="R6" s="110">
        <f>-VLOOKUP(R$2,'Aggregated Median CA data'!$C$4:$M$18,8,0)*$C$6</f>
        <v>13588.566320524662</v>
      </c>
      <c r="S6" s="110">
        <f>-VLOOKUP(S$2,'Aggregated Median CA data'!$C$4:$M$18,8,0)*$C$6</f>
        <v>7479.7363267617975</v>
      </c>
      <c r="T6" s="110">
        <f>-VLOOKUP(T$2,'Aggregated Median CA data'!$C$4:$M$18,8,0)*$C$6</f>
        <v>5424.1637691657552</v>
      </c>
      <c r="U6" s="110">
        <f>-VLOOKUP(U$2,'Aggregated Median CA data'!$C$4:$M$18,8,0)*$C$6</f>
        <v>455.98456165696354</v>
      </c>
    </row>
    <row r="7" spans="1:21">
      <c r="A7" s="98" t="s">
        <v>85</v>
      </c>
      <c r="B7" s="98" t="s">
        <v>87</v>
      </c>
      <c r="C7" s="108">
        <v>5000000</v>
      </c>
      <c r="D7" s="98" t="s">
        <v>85</v>
      </c>
      <c r="E7" s="98" t="s">
        <v>85</v>
      </c>
      <c r="F7" s="98">
        <v>1384.5</v>
      </c>
      <c r="G7" s="98">
        <v>2505</v>
      </c>
      <c r="H7" s="107">
        <v>1110.5</v>
      </c>
      <c r="I7" s="107">
        <v>250</v>
      </c>
      <c r="J7" s="107">
        <v>150</v>
      </c>
      <c r="K7" s="107">
        <v>150</v>
      </c>
      <c r="L7" s="107">
        <v>50</v>
      </c>
      <c r="M7" s="107">
        <v>50</v>
      </c>
      <c r="N7" s="107">
        <v>100</v>
      </c>
      <c r="O7" s="107">
        <v>0</v>
      </c>
      <c r="P7" s="107">
        <v>100</v>
      </c>
      <c r="Q7" s="107">
        <v>50</v>
      </c>
      <c r="R7" s="107">
        <v>0</v>
      </c>
      <c r="S7" s="107">
        <v>0</v>
      </c>
      <c r="T7" s="107">
        <v>0</v>
      </c>
      <c r="U7" s="107" t="s">
        <v>85</v>
      </c>
    </row>
    <row r="8" spans="1:21">
      <c r="A8" s="98" t="s">
        <v>85</v>
      </c>
      <c r="B8" s="98" t="s">
        <v>93</v>
      </c>
      <c r="C8" s="108">
        <v>5000000</v>
      </c>
      <c r="D8" s="98" t="s">
        <v>85</v>
      </c>
      <c r="E8" s="98" t="s">
        <v>85</v>
      </c>
      <c r="F8" s="98" t="s">
        <v>85</v>
      </c>
      <c r="G8" s="98" t="s">
        <v>85</v>
      </c>
      <c r="H8" s="107">
        <v>622.5</v>
      </c>
      <c r="I8" s="107">
        <v>950</v>
      </c>
      <c r="J8" s="107">
        <v>1100</v>
      </c>
      <c r="K8" s="107">
        <v>900</v>
      </c>
      <c r="L8" s="107">
        <v>600</v>
      </c>
      <c r="M8" s="107">
        <v>300</v>
      </c>
      <c r="N8" s="107">
        <v>150</v>
      </c>
      <c r="O8" s="107">
        <v>50</v>
      </c>
      <c r="P8" s="107">
        <v>100</v>
      </c>
      <c r="Q8" s="107">
        <v>0</v>
      </c>
      <c r="R8" s="107">
        <v>50</v>
      </c>
      <c r="S8" s="107">
        <v>0</v>
      </c>
      <c r="T8" s="107">
        <v>0</v>
      </c>
      <c r="U8" s="107">
        <v>0</v>
      </c>
    </row>
    <row r="9" spans="1:21">
      <c r="A9" s="98" t="s">
        <v>85</v>
      </c>
      <c r="B9" s="98" t="s">
        <v>95</v>
      </c>
      <c r="C9" s="108">
        <v>2500000</v>
      </c>
      <c r="D9" s="98" t="s">
        <v>85</v>
      </c>
      <c r="E9" s="98">
        <v>411.75</v>
      </c>
      <c r="F9" s="98">
        <v>428.5</v>
      </c>
      <c r="G9" s="98">
        <v>664.49999999999989</v>
      </c>
      <c r="H9" s="107">
        <v>304.75</v>
      </c>
      <c r="I9" s="107">
        <v>243.5</v>
      </c>
      <c r="J9" s="107">
        <v>162.75</v>
      </c>
      <c r="K9" s="107">
        <v>78</v>
      </c>
      <c r="L9" s="107">
        <v>47</v>
      </c>
      <c r="M9" s="107">
        <v>25</v>
      </c>
      <c r="N9" s="107">
        <v>3</v>
      </c>
      <c r="O9" s="107">
        <v>3.25</v>
      </c>
      <c r="P9" s="107">
        <v>0</v>
      </c>
      <c r="Q9" s="107">
        <v>25</v>
      </c>
      <c r="R9" s="107">
        <v>0</v>
      </c>
      <c r="S9" s="107">
        <v>0</v>
      </c>
      <c r="T9" s="107" t="s">
        <v>85</v>
      </c>
      <c r="U9" s="107" t="s">
        <v>85</v>
      </c>
    </row>
    <row r="10" spans="1:21">
      <c r="A10" s="98" t="s">
        <v>85</v>
      </c>
      <c r="B10" s="98" t="s">
        <v>98</v>
      </c>
      <c r="C10" s="108">
        <v>5000000</v>
      </c>
      <c r="D10" s="98" t="s">
        <v>85</v>
      </c>
      <c r="E10" s="98" t="s">
        <v>85</v>
      </c>
      <c r="F10" s="98">
        <v>852</v>
      </c>
      <c r="G10" s="98">
        <v>1080</v>
      </c>
      <c r="H10" s="107">
        <v>550</v>
      </c>
      <c r="I10" s="107">
        <v>1100</v>
      </c>
      <c r="J10" s="107">
        <v>750</v>
      </c>
      <c r="K10" s="107">
        <v>400</v>
      </c>
      <c r="L10" s="107">
        <v>200</v>
      </c>
      <c r="M10" s="107">
        <v>100</v>
      </c>
      <c r="N10" s="107">
        <v>50</v>
      </c>
      <c r="O10" s="107">
        <v>50</v>
      </c>
      <c r="P10" s="107">
        <v>0</v>
      </c>
      <c r="Q10" s="107">
        <v>0</v>
      </c>
      <c r="R10" s="107">
        <v>0</v>
      </c>
      <c r="S10" s="107">
        <v>0</v>
      </c>
      <c r="T10" s="107">
        <v>0</v>
      </c>
      <c r="U10" s="107" t="s">
        <v>85</v>
      </c>
    </row>
    <row r="11" spans="1:21">
      <c r="A11" s="98" t="s">
        <v>85</v>
      </c>
      <c r="B11" s="98" t="s">
        <v>104</v>
      </c>
      <c r="C11" s="108">
        <v>2500000</v>
      </c>
      <c r="D11" s="98">
        <v>163.5</v>
      </c>
      <c r="E11" s="98">
        <v>739.75</v>
      </c>
      <c r="F11" s="98">
        <v>1212.5</v>
      </c>
      <c r="G11" s="98">
        <v>122.5</v>
      </c>
      <c r="H11" s="107">
        <v>96.5</v>
      </c>
      <c r="I11" s="107">
        <v>66</v>
      </c>
      <c r="J11" s="107">
        <v>25</v>
      </c>
      <c r="K11" s="107">
        <v>13.5</v>
      </c>
      <c r="L11" s="107">
        <v>13.75</v>
      </c>
      <c r="M11" s="107">
        <v>0</v>
      </c>
      <c r="N11" s="107">
        <v>13.5</v>
      </c>
      <c r="O11" s="107">
        <v>0</v>
      </c>
      <c r="P11" s="107">
        <v>0</v>
      </c>
      <c r="Q11" s="107">
        <v>0</v>
      </c>
      <c r="R11" s="107">
        <v>0</v>
      </c>
      <c r="S11" s="107" t="s">
        <v>85</v>
      </c>
      <c r="T11" s="107" t="s">
        <v>85</v>
      </c>
      <c r="U11" s="107" t="s">
        <v>85</v>
      </c>
    </row>
    <row r="12" spans="1:21">
      <c r="A12" s="98" t="s">
        <v>85</v>
      </c>
      <c r="B12" s="98" t="s">
        <v>86</v>
      </c>
      <c r="C12" s="108">
        <v>2500000</v>
      </c>
      <c r="D12" s="98" t="s">
        <v>85</v>
      </c>
      <c r="E12" s="98" t="s">
        <v>85</v>
      </c>
      <c r="F12" s="98" t="s">
        <v>85</v>
      </c>
      <c r="G12" s="98">
        <v>553.25</v>
      </c>
      <c r="H12" s="107">
        <v>367</v>
      </c>
      <c r="I12" s="107">
        <v>675</v>
      </c>
      <c r="J12" s="107">
        <v>350</v>
      </c>
      <c r="K12" s="107">
        <v>250</v>
      </c>
      <c r="L12" s="107">
        <v>100</v>
      </c>
      <c r="M12" s="107">
        <v>25</v>
      </c>
      <c r="N12" s="107">
        <v>25</v>
      </c>
      <c r="O12" s="107">
        <v>25</v>
      </c>
      <c r="P12" s="107">
        <v>0</v>
      </c>
      <c r="Q12" s="107">
        <v>0</v>
      </c>
      <c r="R12" s="107">
        <v>0</v>
      </c>
      <c r="S12" s="107">
        <v>0</v>
      </c>
      <c r="T12" s="107">
        <v>0</v>
      </c>
      <c r="U12" s="107">
        <v>0</v>
      </c>
    </row>
    <row r="13" spans="1:21">
      <c r="A13" s="98" t="s">
        <v>85</v>
      </c>
      <c r="B13" s="98" t="s">
        <v>101</v>
      </c>
      <c r="C13" s="108">
        <v>2000000</v>
      </c>
      <c r="D13" s="98" t="s">
        <v>85</v>
      </c>
      <c r="E13" s="98" t="s">
        <v>85</v>
      </c>
      <c r="F13" s="98">
        <v>711.4</v>
      </c>
      <c r="G13" s="98">
        <v>484</v>
      </c>
      <c r="H13" s="107">
        <v>452</v>
      </c>
      <c r="I13" s="107">
        <v>219.2</v>
      </c>
      <c r="J13" s="107">
        <v>90.8</v>
      </c>
      <c r="K13" s="107">
        <v>35.4</v>
      </c>
      <c r="L13" s="107">
        <v>37.799999999999997</v>
      </c>
      <c r="M13" s="107">
        <v>0</v>
      </c>
      <c r="N13" s="107">
        <v>2.2000000000000002</v>
      </c>
      <c r="O13" s="107">
        <v>0</v>
      </c>
      <c r="P13" s="107">
        <v>0</v>
      </c>
      <c r="Q13" s="107">
        <v>2.4</v>
      </c>
      <c r="R13" s="107">
        <v>0</v>
      </c>
      <c r="S13" s="107">
        <v>0</v>
      </c>
      <c r="T13" s="107">
        <v>0</v>
      </c>
      <c r="U13" s="107" t="s">
        <v>85</v>
      </c>
    </row>
    <row r="14" spans="1:21">
      <c r="A14" s="98" t="s">
        <v>85</v>
      </c>
      <c r="B14" s="98" t="s">
        <v>103</v>
      </c>
      <c r="C14" s="108">
        <v>4500000</v>
      </c>
      <c r="D14" s="98" t="s">
        <v>85</v>
      </c>
      <c r="E14" s="98">
        <v>1254.1500000000001</v>
      </c>
      <c r="F14" s="98">
        <v>967.95</v>
      </c>
      <c r="G14" s="98">
        <v>524.70000000000005</v>
      </c>
      <c r="H14" s="107">
        <v>663.3</v>
      </c>
      <c r="I14" s="107">
        <v>543.15</v>
      </c>
      <c r="J14" s="107">
        <v>230.85</v>
      </c>
      <c r="K14" s="107">
        <v>113.85</v>
      </c>
      <c r="L14" s="107">
        <v>69.3</v>
      </c>
      <c r="M14" s="107">
        <v>23.85</v>
      </c>
      <c r="N14" s="107">
        <v>45</v>
      </c>
      <c r="O14" s="107">
        <v>23.85</v>
      </c>
      <c r="P14" s="107">
        <v>21.15</v>
      </c>
      <c r="Q14" s="107">
        <v>0</v>
      </c>
      <c r="R14" s="107">
        <v>0</v>
      </c>
      <c r="S14" s="107">
        <v>0</v>
      </c>
      <c r="T14" s="107" t="s">
        <v>85</v>
      </c>
      <c r="U14" s="107" t="s">
        <v>85</v>
      </c>
    </row>
    <row r="15" spans="1:21">
      <c r="A15" s="98" t="s">
        <v>85</v>
      </c>
      <c r="B15" s="98" t="s">
        <v>90</v>
      </c>
      <c r="C15" s="108">
        <v>4000000</v>
      </c>
      <c r="D15" s="98" t="s">
        <v>85</v>
      </c>
      <c r="E15" s="98" t="s">
        <v>85</v>
      </c>
      <c r="F15" s="98">
        <v>756.4</v>
      </c>
      <c r="G15" s="98">
        <v>759.2</v>
      </c>
      <c r="H15" s="107">
        <v>435.2</v>
      </c>
      <c r="I15" s="107">
        <v>800</v>
      </c>
      <c r="J15" s="107">
        <v>520</v>
      </c>
      <c r="K15" s="107">
        <v>280</v>
      </c>
      <c r="L15" s="107">
        <v>120</v>
      </c>
      <c r="M15" s="107">
        <v>80</v>
      </c>
      <c r="N15" s="107">
        <v>40</v>
      </c>
      <c r="O15" s="107">
        <v>40</v>
      </c>
      <c r="P15" s="107">
        <v>40</v>
      </c>
      <c r="Q15" s="107">
        <v>0</v>
      </c>
      <c r="R15" s="107">
        <v>0</v>
      </c>
      <c r="S15" s="107">
        <v>0</v>
      </c>
      <c r="T15" s="107">
        <v>0</v>
      </c>
      <c r="U15" s="107" t="s">
        <v>85</v>
      </c>
    </row>
    <row r="16" spans="1:21">
      <c r="A16" s="98" t="s">
        <v>85</v>
      </c>
      <c r="B16" s="98" t="s">
        <v>94</v>
      </c>
      <c r="C16" s="108">
        <v>2500000</v>
      </c>
      <c r="D16" s="98" t="s">
        <v>85</v>
      </c>
      <c r="E16" s="98" t="s">
        <v>85</v>
      </c>
      <c r="F16" s="98" t="s">
        <v>85</v>
      </c>
      <c r="G16" s="98">
        <v>655.75</v>
      </c>
      <c r="H16" s="107">
        <v>182</v>
      </c>
      <c r="I16" s="107">
        <v>575</v>
      </c>
      <c r="J16" s="107">
        <v>475</v>
      </c>
      <c r="K16" s="107">
        <v>275</v>
      </c>
      <c r="L16" s="107">
        <v>150</v>
      </c>
      <c r="M16" s="107">
        <v>75</v>
      </c>
      <c r="N16" s="107">
        <v>25</v>
      </c>
      <c r="O16" s="107">
        <v>25</v>
      </c>
      <c r="P16" s="107">
        <v>25</v>
      </c>
      <c r="Q16" s="107">
        <v>0</v>
      </c>
      <c r="R16" s="107">
        <v>0</v>
      </c>
      <c r="S16" s="107">
        <v>0</v>
      </c>
      <c r="T16" s="107">
        <v>0</v>
      </c>
      <c r="U16" s="107">
        <v>0</v>
      </c>
    </row>
    <row r="17" spans="1:21">
      <c r="A17" s="98" t="s">
        <v>85</v>
      </c>
      <c r="B17" s="98" t="s">
        <v>88</v>
      </c>
      <c r="C17" s="108">
        <v>3000000</v>
      </c>
      <c r="D17" s="98" t="s">
        <v>85</v>
      </c>
      <c r="E17" s="98" t="s">
        <v>85</v>
      </c>
      <c r="F17" s="98" t="s">
        <v>85</v>
      </c>
      <c r="G17" s="98">
        <v>942</v>
      </c>
      <c r="H17" s="107">
        <v>463.2</v>
      </c>
      <c r="I17" s="107">
        <v>810</v>
      </c>
      <c r="J17" s="107">
        <v>360</v>
      </c>
      <c r="K17" s="107">
        <v>120</v>
      </c>
      <c r="L17" s="107">
        <v>60</v>
      </c>
      <c r="M17" s="107">
        <v>30</v>
      </c>
      <c r="N17" s="107">
        <v>0</v>
      </c>
      <c r="O17" s="107">
        <v>0</v>
      </c>
      <c r="P17" s="107">
        <v>30</v>
      </c>
      <c r="Q17" s="107">
        <v>0</v>
      </c>
      <c r="R17" s="107">
        <v>0</v>
      </c>
      <c r="S17" s="107">
        <v>0</v>
      </c>
      <c r="T17" s="107">
        <v>0</v>
      </c>
      <c r="U17" s="107" t="s">
        <v>85</v>
      </c>
    </row>
    <row r="18" spans="1:21">
      <c r="A18" s="98" t="s">
        <v>85</v>
      </c>
      <c r="B18" s="98" t="s">
        <v>99</v>
      </c>
      <c r="C18" s="108">
        <v>2500000</v>
      </c>
      <c r="D18" s="98" t="s">
        <v>85</v>
      </c>
      <c r="E18" s="98" t="s">
        <v>85</v>
      </c>
      <c r="F18" s="98">
        <v>354</v>
      </c>
      <c r="G18" s="98">
        <v>729.5</v>
      </c>
      <c r="H18" s="107">
        <v>0</v>
      </c>
      <c r="I18" s="107">
        <v>525</v>
      </c>
      <c r="J18" s="107">
        <v>400</v>
      </c>
      <c r="K18" s="107">
        <v>275</v>
      </c>
      <c r="L18" s="107">
        <v>125</v>
      </c>
      <c r="M18" s="107">
        <v>50</v>
      </c>
      <c r="N18" s="107">
        <v>50</v>
      </c>
      <c r="O18" s="107">
        <v>25</v>
      </c>
      <c r="P18" s="107">
        <v>0</v>
      </c>
      <c r="Q18" s="107">
        <v>25</v>
      </c>
      <c r="R18" s="107">
        <v>0</v>
      </c>
      <c r="S18" s="107">
        <v>0</v>
      </c>
      <c r="T18" s="107">
        <v>0</v>
      </c>
      <c r="U18" s="107" t="s">
        <v>85</v>
      </c>
    </row>
    <row r="19" spans="1:21">
      <c r="A19" s="98" t="s">
        <v>85</v>
      </c>
      <c r="B19" s="98" t="s">
        <v>97</v>
      </c>
      <c r="C19" s="108">
        <v>2500000</v>
      </c>
      <c r="D19" s="98" t="s">
        <v>85</v>
      </c>
      <c r="E19" s="98" t="s">
        <v>85</v>
      </c>
      <c r="F19" s="98">
        <v>920.25</v>
      </c>
      <c r="G19" s="98">
        <v>729.25</v>
      </c>
      <c r="H19" s="107">
        <v>232.5</v>
      </c>
      <c r="I19" s="107">
        <v>525</v>
      </c>
      <c r="J19" s="107">
        <v>325</v>
      </c>
      <c r="K19" s="107">
        <v>175</v>
      </c>
      <c r="L19" s="107">
        <v>100</v>
      </c>
      <c r="M19" s="107">
        <v>25</v>
      </c>
      <c r="N19" s="107">
        <v>25</v>
      </c>
      <c r="O19" s="107">
        <v>25</v>
      </c>
      <c r="P19" s="107">
        <v>0</v>
      </c>
      <c r="Q19" s="107">
        <v>0</v>
      </c>
      <c r="R19" s="107">
        <v>0</v>
      </c>
      <c r="S19" s="107">
        <v>0</v>
      </c>
      <c r="T19" s="107">
        <v>0</v>
      </c>
      <c r="U19" s="107" t="s">
        <v>85</v>
      </c>
    </row>
    <row r="20" spans="1:21">
      <c r="A20" s="98" t="s">
        <v>85</v>
      </c>
      <c r="B20" s="98" t="s">
        <v>96</v>
      </c>
      <c r="C20" s="108">
        <v>2000000</v>
      </c>
      <c r="D20" s="98" t="s">
        <v>85</v>
      </c>
      <c r="E20" s="98">
        <v>336</v>
      </c>
      <c r="F20" s="98">
        <v>148.4</v>
      </c>
      <c r="G20" s="98">
        <v>580.20000000000005</v>
      </c>
      <c r="H20" s="107">
        <v>211.6</v>
      </c>
      <c r="I20" s="107">
        <v>205</v>
      </c>
      <c r="J20" s="107">
        <v>95</v>
      </c>
      <c r="K20" s="107">
        <v>70</v>
      </c>
      <c r="L20" s="107">
        <v>15</v>
      </c>
      <c r="M20" s="107">
        <v>5</v>
      </c>
      <c r="N20" s="107">
        <v>0</v>
      </c>
      <c r="O20" s="107">
        <v>0</v>
      </c>
      <c r="P20" s="107">
        <v>0</v>
      </c>
      <c r="Q20" s="107">
        <v>0</v>
      </c>
      <c r="R20" s="107">
        <v>0</v>
      </c>
      <c r="S20" s="107">
        <v>0</v>
      </c>
      <c r="T20" s="107" t="s">
        <v>85</v>
      </c>
      <c r="U20" s="107" t="s">
        <v>85</v>
      </c>
    </row>
    <row r="21" spans="1:21">
      <c r="A21" s="98" t="s">
        <v>85</v>
      </c>
      <c r="B21" s="98" t="s">
        <v>102</v>
      </c>
      <c r="C21" s="108">
        <v>1500000</v>
      </c>
      <c r="D21" s="98" t="s">
        <v>85</v>
      </c>
      <c r="E21" s="98">
        <v>224.85</v>
      </c>
      <c r="F21" s="98">
        <v>520.50000000000011</v>
      </c>
      <c r="G21" s="98">
        <v>249.74999999999997</v>
      </c>
      <c r="H21" s="107">
        <v>189</v>
      </c>
      <c r="I21" s="107">
        <v>131.1</v>
      </c>
      <c r="J21" s="107">
        <v>63.15</v>
      </c>
      <c r="K21" s="107">
        <v>20.400000000000002</v>
      </c>
      <c r="L21" s="107">
        <v>15</v>
      </c>
      <c r="M21" s="107">
        <v>20.55</v>
      </c>
      <c r="N21" s="107">
        <v>0</v>
      </c>
      <c r="O21" s="107">
        <v>15</v>
      </c>
      <c r="P21" s="107">
        <v>0</v>
      </c>
      <c r="Q21" s="107">
        <v>0</v>
      </c>
      <c r="R21" s="107">
        <v>0</v>
      </c>
      <c r="S21" s="107">
        <v>0</v>
      </c>
      <c r="T21" s="107" t="s">
        <v>85</v>
      </c>
      <c r="U21" s="107" t="s">
        <v>85</v>
      </c>
    </row>
    <row r="22" spans="1:21">
      <c r="A22" s="98" t="s">
        <v>85</v>
      </c>
      <c r="B22" s="98" t="s">
        <v>89</v>
      </c>
      <c r="C22" s="108">
        <v>3500000</v>
      </c>
      <c r="D22" s="98" t="s">
        <v>85</v>
      </c>
      <c r="E22" s="98" t="s">
        <v>85</v>
      </c>
      <c r="F22" s="98" t="s">
        <v>85</v>
      </c>
      <c r="G22" s="98">
        <v>714</v>
      </c>
      <c r="H22" s="107">
        <v>859.95</v>
      </c>
      <c r="I22" s="107">
        <v>945</v>
      </c>
      <c r="J22" s="107">
        <v>420</v>
      </c>
      <c r="K22" s="107">
        <v>140</v>
      </c>
      <c r="L22" s="107">
        <v>70</v>
      </c>
      <c r="M22" s="107">
        <v>35</v>
      </c>
      <c r="N22" s="107">
        <v>0</v>
      </c>
      <c r="O22" s="107">
        <v>0</v>
      </c>
      <c r="P22" s="107">
        <v>35</v>
      </c>
      <c r="Q22" s="107">
        <v>0</v>
      </c>
      <c r="R22" s="107">
        <v>0</v>
      </c>
      <c r="S22" s="107">
        <v>0</v>
      </c>
      <c r="T22" s="107">
        <v>0</v>
      </c>
      <c r="U22" s="107" t="s">
        <v>85</v>
      </c>
    </row>
    <row r="23" spans="1:21">
      <c r="A23" s="98" t="s">
        <v>85</v>
      </c>
      <c r="B23" s="98" t="s">
        <v>92</v>
      </c>
      <c r="C23" s="108">
        <v>2500000</v>
      </c>
      <c r="D23" s="98" t="s">
        <v>85</v>
      </c>
      <c r="E23" s="98" t="s">
        <v>85</v>
      </c>
      <c r="F23" s="98">
        <v>632.75</v>
      </c>
      <c r="G23" s="98">
        <v>375.5</v>
      </c>
      <c r="H23" s="107">
        <v>928</v>
      </c>
      <c r="I23" s="107">
        <v>300</v>
      </c>
      <c r="J23" s="107">
        <v>200</v>
      </c>
      <c r="K23" s="107">
        <v>50</v>
      </c>
      <c r="L23" s="107">
        <v>25</v>
      </c>
      <c r="M23" s="107">
        <v>25</v>
      </c>
      <c r="N23" s="107">
        <v>25</v>
      </c>
      <c r="O23" s="107">
        <v>0</v>
      </c>
      <c r="P23" s="107">
        <v>0</v>
      </c>
      <c r="Q23" s="107">
        <v>0</v>
      </c>
      <c r="R23" s="107">
        <v>0</v>
      </c>
      <c r="S23" s="107">
        <v>0</v>
      </c>
      <c r="T23" s="107">
        <v>0</v>
      </c>
      <c r="U23" s="107" t="s">
        <v>85</v>
      </c>
    </row>
    <row r="24" spans="1:21">
      <c r="A24" s="98" t="s">
        <v>85</v>
      </c>
      <c r="B24" s="98" t="s">
        <v>100</v>
      </c>
      <c r="C24" s="108">
        <v>2500000</v>
      </c>
      <c r="D24" s="98" t="s">
        <v>85</v>
      </c>
      <c r="E24" s="98" t="s">
        <v>85</v>
      </c>
      <c r="F24" s="98" t="s">
        <v>85</v>
      </c>
      <c r="G24" s="98" t="s">
        <v>85</v>
      </c>
      <c r="H24" s="107">
        <v>498.00000000000006</v>
      </c>
      <c r="I24" s="107">
        <v>700</v>
      </c>
      <c r="J24" s="107">
        <v>575</v>
      </c>
      <c r="K24" s="107">
        <v>325</v>
      </c>
      <c r="L24" s="107">
        <v>150</v>
      </c>
      <c r="M24" s="107">
        <v>25</v>
      </c>
      <c r="N24" s="107">
        <v>50</v>
      </c>
      <c r="O24" s="107">
        <v>25</v>
      </c>
      <c r="P24" s="107">
        <v>0</v>
      </c>
      <c r="Q24" s="107">
        <v>0</v>
      </c>
      <c r="R24" s="107">
        <v>0</v>
      </c>
      <c r="S24" s="107">
        <v>0</v>
      </c>
      <c r="T24" s="107">
        <v>0</v>
      </c>
      <c r="U24" s="107">
        <v>0</v>
      </c>
    </row>
    <row r="25" spans="1:21">
      <c r="A25" s="98" t="s">
        <v>85</v>
      </c>
      <c r="B25" s="98" t="s">
        <v>91</v>
      </c>
      <c r="C25" s="108">
        <v>2500000</v>
      </c>
      <c r="D25" s="98" t="s">
        <v>85</v>
      </c>
      <c r="E25" s="98">
        <v>2006.25</v>
      </c>
      <c r="F25" s="98">
        <v>0</v>
      </c>
      <c r="G25" s="98">
        <v>1</v>
      </c>
      <c r="H25" s="107">
        <v>182</v>
      </c>
      <c r="I25" s="107">
        <v>135.25</v>
      </c>
      <c r="J25" s="107">
        <v>25</v>
      </c>
      <c r="K25" s="107">
        <v>47</v>
      </c>
      <c r="L25" s="107">
        <v>22.25</v>
      </c>
      <c r="M25" s="107">
        <v>0</v>
      </c>
      <c r="N25" s="107">
        <v>0</v>
      </c>
      <c r="O25" s="107">
        <v>0</v>
      </c>
      <c r="P25" s="107">
        <v>0</v>
      </c>
      <c r="Q25" s="107">
        <v>0</v>
      </c>
      <c r="R25" s="107">
        <v>0</v>
      </c>
      <c r="S25" s="107">
        <v>0</v>
      </c>
      <c r="T25" s="107" t="s">
        <v>85</v>
      </c>
      <c r="U25" s="107" t="s">
        <v>85</v>
      </c>
    </row>
  </sheetData>
  <autoFilter ref="A3:U25" xr:uid="{AEE00DEB-AF8E-47FE-A19D-83D08E3B97AD}">
    <sortState xmlns:xlrd2="http://schemas.microsoft.com/office/spreadsheetml/2017/richdata2" ref="A4:U25">
      <sortCondition ref="B3:B25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6B05-A37A-40D7-A2EE-0974186BF3D6}">
  <sheetPr codeName="Sheet13">
    <tabColor theme="4"/>
  </sheetPr>
  <dimension ref="A1:U27"/>
  <sheetViews>
    <sheetView zoomScale="85" zoomScaleNormal="85" workbookViewId="0">
      <selection activeCell="D29" sqref="D29"/>
    </sheetView>
  </sheetViews>
  <sheetFormatPr defaultRowHeight="11.25" outlineLevelCol="1"/>
  <cols>
    <col min="1" max="1" width="14.28515625" style="98" customWidth="1"/>
    <col min="2" max="2" width="50" style="98" customWidth="1"/>
    <col min="3" max="3" width="30" style="98" customWidth="1"/>
    <col min="4" max="7" width="20" style="98" hidden="1" customWidth="1" outlineLevel="1"/>
    <col min="8" max="8" width="20" style="98" customWidth="1" collapsed="1"/>
    <col min="9" max="21" width="20" style="98" customWidth="1"/>
    <col min="22" max="16384" width="9.140625" style="98"/>
  </cols>
  <sheetData>
    <row r="1" spans="1:21">
      <c r="B1" s="99" t="s">
        <v>1</v>
      </c>
      <c r="C1" s="100">
        <f>SUM(C4:C25)</f>
        <v>70000000</v>
      </c>
      <c r="D1" s="99"/>
      <c r="E1" s="99"/>
      <c r="F1" s="99"/>
      <c r="G1" s="99"/>
      <c r="H1" s="101">
        <f t="shared" ref="H1:U1" si="0">SUM(H4:H25)</f>
        <v>3130.3500000000004</v>
      </c>
      <c r="I1" s="101">
        <f t="shared" si="0"/>
        <v>10488.118100136</v>
      </c>
      <c r="J1" s="101">
        <f t="shared" si="0"/>
        <v>115160.18839644744</v>
      </c>
      <c r="K1" s="101">
        <f t="shared" si="0"/>
        <v>439505.69158960634</v>
      </c>
      <c r="L1" s="101">
        <f t="shared" si="0"/>
        <v>850408.25959689554</v>
      </c>
      <c r="M1" s="101">
        <f t="shared" si="0"/>
        <v>928407.50381742744</v>
      </c>
      <c r="N1" s="101">
        <f t="shared" si="0"/>
        <v>1254916.624091102</v>
      </c>
      <c r="O1" s="101">
        <f t="shared" si="0"/>
        <v>1220577.4115300376</v>
      </c>
      <c r="P1" s="101">
        <f t="shared" si="0"/>
        <v>999016.16677665175</v>
      </c>
      <c r="Q1" s="101">
        <f t="shared" si="0"/>
        <v>740001.97234979679</v>
      </c>
      <c r="R1" s="101">
        <f t="shared" si="0"/>
        <v>765243.1276926368</v>
      </c>
      <c r="S1" s="101">
        <f t="shared" si="0"/>
        <v>414887.54805304867</v>
      </c>
      <c r="T1" s="101">
        <f t="shared" si="0"/>
        <v>320273.69517487177</v>
      </c>
      <c r="U1" s="101">
        <f t="shared" si="0"/>
        <v>165724.03900345427</v>
      </c>
    </row>
    <row r="2" spans="1:21">
      <c r="H2" s="111" t="s">
        <v>6</v>
      </c>
      <c r="I2" s="111" t="s">
        <v>7</v>
      </c>
      <c r="J2" s="111" t="s">
        <v>8</v>
      </c>
      <c r="K2" s="111" t="s">
        <v>9</v>
      </c>
      <c r="L2" s="111" t="s">
        <v>10</v>
      </c>
      <c r="M2" s="111" t="s">
        <v>11</v>
      </c>
      <c r="N2" s="111" t="s">
        <v>12</v>
      </c>
      <c r="O2" s="111" t="s">
        <v>13</v>
      </c>
      <c r="P2" s="111" t="s">
        <v>14</v>
      </c>
      <c r="Q2" s="111" t="s">
        <v>15</v>
      </c>
      <c r="R2" s="111" t="s">
        <v>16</v>
      </c>
      <c r="S2" s="111" t="s">
        <v>17</v>
      </c>
      <c r="T2" s="111" t="s">
        <v>18</v>
      </c>
      <c r="U2" s="111" t="s">
        <v>19</v>
      </c>
    </row>
    <row r="3" spans="1:21">
      <c r="A3" s="98" t="s">
        <v>85</v>
      </c>
      <c r="B3" s="102" t="s">
        <v>125</v>
      </c>
      <c r="C3" s="98" t="s">
        <v>0</v>
      </c>
      <c r="D3" s="98" t="s">
        <v>124</v>
      </c>
      <c r="E3" s="98" t="s">
        <v>123</v>
      </c>
      <c r="F3" s="98" t="s">
        <v>122</v>
      </c>
      <c r="G3" s="98" t="s">
        <v>121</v>
      </c>
      <c r="H3" s="103" t="s">
        <v>120</v>
      </c>
      <c r="I3" s="103" t="s">
        <v>119</v>
      </c>
      <c r="J3" s="103" t="s">
        <v>118</v>
      </c>
      <c r="K3" s="103" t="s">
        <v>117</v>
      </c>
      <c r="L3" s="103" t="s">
        <v>116</v>
      </c>
      <c r="M3" s="103" t="s">
        <v>115</v>
      </c>
      <c r="N3" s="103" t="s">
        <v>114</v>
      </c>
      <c r="O3" s="103" t="s">
        <v>113</v>
      </c>
      <c r="P3" s="103" t="s">
        <v>112</v>
      </c>
      <c r="Q3" s="103" t="s">
        <v>111</v>
      </c>
      <c r="R3" s="103" t="s">
        <v>110</v>
      </c>
      <c r="S3" s="103" t="s">
        <v>109</v>
      </c>
      <c r="T3" s="103" t="s">
        <v>108</v>
      </c>
      <c r="U3" s="103" t="s">
        <v>107</v>
      </c>
    </row>
    <row r="4" spans="1:21">
      <c r="A4" s="98" t="s">
        <v>85</v>
      </c>
      <c r="B4" s="98" t="s">
        <v>105</v>
      </c>
      <c r="C4" s="104">
        <v>2500000</v>
      </c>
      <c r="D4" s="98" t="s">
        <v>85</v>
      </c>
      <c r="E4" s="98" t="s">
        <v>85</v>
      </c>
      <c r="F4" s="98">
        <v>0</v>
      </c>
      <c r="G4" s="98">
        <v>0</v>
      </c>
      <c r="H4" s="98">
        <v>20.75</v>
      </c>
      <c r="I4" s="98">
        <v>175</v>
      </c>
      <c r="J4" s="98">
        <v>375</v>
      </c>
      <c r="K4" s="98">
        <v>475</v>
      </c>
      <c r="L4" s="98">
        <v>500</v>
      </c>
      <c r="M4" s="98">
        <v>650</v>
      </c>
      <c r="N4" s="98">
        <v>475</v>
      </c>
      <c r="O4" s="98">
        <v>375</v>
      </c>
      <c r="P4" s="98">
        <v>500</v>
      </c>
      <c r="Q4" s="98">
        <v>293.25</v>
      </c>
      <c r="R4" s="98">
        <v>86.75</v>
      </c>
      <c r="S4" s="98">
        <v>86.75</v>
      </c>
      <c r="T4" s="98">
        <v>86.5</v>
      </c>
      <c r="U4" s="98" t="s">
        <v>85</v>
      </c>
    </row>
    <row r="5" spans="1:21">
      <c r="A5" s="98" t="s">
        <v>85</v>
      </c>
      <c r="B5" s="98" t="s">
        <v>106</v>
      </c>
      <c r="C5" s="104">
        <v>4500000</v>
      </c>
      <c r="D5" s="98" t="s">
        <v>85</v>
      </c>
      <c r="E5" s="98">
        <v>0</v>
      </c>
      <c r="F5" s="98">
        <v>0</v>
      </c>
      <c r="G5" s="98">
        <v>283.05</v>
      </c>
      <c r="H5" s="98">
        <v>250.65</v>
      </c>
      <c r="I5" s="98">
        <v>900</v>
      </c>
      <c r="J5" s="98">
        <v>810</v>
      </c>
      <c r="K5" s="98">
        <v>1035</v>
      </c>
      <c r="L5" s="98">
        <v>1035</v>
      </c>
      <c r="M5" s="98">
        <v>855</v>
      </c>
      <c r="N5" s="98">
        <v>675</v>
      </c>
      <c r="O5" s="98">
        <v>810</v>
      </c>
      <c r="P5" s="98">
        <v>450</v>
      </c>
      <c r="Q5" s="98">
        <v>225</v>
      </c>
      <c r="R5" s="98">
        <v>180</v>
      </c>
      <c r="S5" s="98">
        <v>533.25</v>
      </c>
      <c r="T5" s="98" t="s">
        <v>85</v>
      </c>
      <c r="U5" s="98" t="s">
        <v>85</v>
      </c>
    </row>
    <row r="6" spans="1:21">
      <c r="B6" s="105" t="s">
        <v>294</v>
      </c>
      <c r="C6" s="106">
        <v>5000000</v>
      </c>
      <c r="H6" s="110">
        <f>VLOOKUP(H$2,'Aggregated Median CA data'!$C$4:$M$18,9,0)*$C$6</f>
        <v>0</v>
      </c>
      <c r="I6" s="110">
        <f>VLOOKUP(I$2,'Aggregated Median CA data'!$C$4:$M$18,9,0)*$C$6</f>
        <v>3846.8681001360014</v>
      </c>
      <c r="J6" s="110">
        <f>VLOOKUP(J$2,'Aggregated Median CA data'!$C$4:$M$18,9,0)*$C$6</f>
        <v>105459.18839644744</v>
      </c>
      <c r="K6" s="110">
        <f>VLOOKUP(K$2,'Aggregated Median CA data'!$C$4:$M$18,9,0)*$C$6</f>
        <v>427641.09158960631</v>
      </c>
      <c r="L6" s="110">
        <f>VLOOKUP(L$2,'Aggregated Median CA data'!$C$4:$M$18,9,0)*$C$6</f>
        <v>837421.7095968955</v>
      </c>
      <c r="M6" s="110">
        <f>VLOOKUP(M$2,'Aggregated Median CA data'!$C$4:$M$18,9,0)*$C$6</f>
        <v>916947.50381742744</v>
      </c>
      <c r="N6" s="110">
        <f>VLOOKUP(N$2,'Aggregated Median CA data'!$C$4:$M$18,9,0)*$C$6</f>
        <v>1244291.8240911022</v>
      </c>
      <c r="O6" s="110">
        <f>VLOOKUP(O$2,'Aggregated Median CA data'!$C$4:$M$18,9,0)*$C$6</f>
        <v>1211131.3115300376</v>
      </c>
      <c r="P6" s="110">
        <f>VLOOKUP(P$2,'Aggregated Median CA data'!$C$4:$M$18,9,0)*$C$6</f>
        <v>991930.71677665168</v>
      </c>
      <c r="Q6" s="110">
        <f>VLOOKUP(Q$2,'Aggregated Median CA data'!$C$4:$M$18,9,0)*$C$6</f>
        <v>735113.3723497967</v>
      </c>
      <c r="R6" s="110">
        <f>VLOOKUP(R$2,'Aggregated Median CA data'!$C$4:$M$18,9,0)*$C$6</f>
        <v>760666.52769263671</v>
      </c>
      <c r="S6" s="110">
        <f>VLOOKUP(S$2,'Aggregated Median CA data'!$C$4:$M$18,9,0)*$C$6</f>
        <v>411709.74805304862</v>
      </c>
      <c r="T6" s="110">
        <f>VLOOKUP(T$2,'Aggregated Median CA data'!$C$4:$M$18,9,0)*$C$6</f>
        <v>318666.19517487171</v>
      </c>
      <c r="U6" s="110">
        <f>VLOOKUP(U$2,'Aggregated Median CA data'!$C$4:$M$18,9,0)*$C$6</f>
        <v>165284.03900345427</v>
      </c>
    </row>
    <row r="7" spans="1:21">
      <c r="A7" s="98" t="s">
        <v>85</v>
      </c>
      <c r="B7" s="98" t="s">
        <v>87</v>
      </c>
      <c r="C7" s="1">
        <v>5000000</v>
      </c>
      <c r="D7" s="98" t="s">
        <v>85</v>
      </c>
      <c r="E7" s="98" t="s">
        <v>85</v>
      </c>
      <c r="F7" s="98">
        <v>0</v>
      </c>
      <c r="G7" s="98">
        <v>870</v>
      </c>
      <c r="H7" s="107">
        <v>760.5</v>
      </c>
      <c r="I7" s="107">
        <v>900</v>
      </c>
      <c r="J7" s="107">
        <v>1150</v>
      </c>
      <c r="K7" s="107">
        <v>1150</v>
      </c>
      <c r="L7" s="107">
        <v>950</v>
      </c>
      <c r="M7" s="107">
        <v>750</v>
      </c>
      <c r="N7" s="107">
        <v>900</v>
      </c>
      <c r="O7" s="107">
        <v>500</v>
      </c>
      <c r="P7" s="107">
        <v>250</v>
      </c>
      <c r="Q7" s="107">
        <v>200</v>
      </c>
      <c r="R7" s="107">
        <v>350</v>
      </c>
      <c r="S7" s="107">
        <v>100</v>
      </c>
      <c r="T7" s="107">
        <v>150</v>
      </c>
      <c r="U7" s="107" t="s">
        <v>85</v>
      </c>
    </row>
    <row r="8" spans="1:21">
      <c r="A8" s="98" t="s">
        <v>85</v>
      </c>
      <c r="B8" s="98" t="s">
        <v>93</v>
      </c>
      <c r="C8" s="1">
        <v>5000000</v>
      </c>
      <c r="D8" s="98" t="s">
        <v>85</v>
      </c>
      <c r="E8" s="98" t="s">
        <v>85</v>
      </c>
      <c r="F8" s="98" t="s">
        <v>85</v>
      </c>
      <c r="G8" s="98" t="s">
        <v>85</v>
      </c>
      <c r="H8" s="107">
        <v>0</v>
      </c>
      <c r="I8" s="107">
        <v>0</v>
      </c>
      <c r="J8" s="107">
        <v>100</v>
      </c>
      <c r="K8" s="107">
        <v>400</v>
      </c>
      <c r="L8" s="107">
        <v>850</v>
      </c>
      <c r="M8" s="107">
        <v>950</v>
      </c>
      <c r="N8" s="107">
        <v>1100</v>
      </c>
      <c r="O8" s="107">
        <v>1200</v>
      </c>
      <c r="P8" s="107">
        <v>950</v>
      </c>
      <c r="Q8" s="107">
        <v>650</v>
      </c>
      <c r="R8" s="107">
        <v>1100</v>
      </c>
      <c r="S8" s="107">
        <v>430</v>
      </c>
      <c r="T8" s="107">
        <v>173.5</v>
      </c>
      <c r="U8" s="107">
        <v>173</v>
      </c>
    </row>
    <row r="9" spans="1:21">
      <c r="A9" s="98" t="s">
        <v>85</v>
      </c>
      <c r="B9" s="98" t="s">
        <v>95</v>
      </c>
      <c r="C9" s="1">
        <v>2500000</v>
      </c>
      <c r="D9" s="98" t="s">
        <v>85</v>
      </c>
      <c r="E9" s="98">
        <v>0</v>
      </c>
      <c r="F9" s="98">
        <v>8</v>
      </c>
      <c r="G9" s="98">
        <v>0</v>
      </c>
      <c r="H9" s="107">
        <v>14.000000000000002</v>
      </c>
      <c r="I9" s="107">
        <v>175</v>
      </c>
      <c r="J9" s="107">
        <v>325</v>
      </c>
      <c r="K9" s="107">
        <v>425</v>
      </c>
      <c r="L9" s="107">
        <v>350</v>
      </c>
      <c r="M9" s="107">
        <v>375</v>
      </c>
      <c r="N9" s="107">
        <v>400</v>
      </c>
      <c r="O9" s="107">
        <v>400</v>
      </c>
      <c r="P9" s="107">
        <v>225</v>
      </c>
      <c r="Q9" s="107">
        <v>334</v>
      </c>
      <c r="R9" s="107">
        <v>118.25000000000001</v>
      </c>
      <c r="S9" s="107">
        <v>118.25000000000001</v>
      </c>
      <c r="T9" s="107" t="s">
        <v>85</v>
      </c>
      <c r="U9" s="107" t="s">
        <v>85</v>
      </c>
    </row>
    <row r="10" spans="1:21">
      <c r="A10" s="98" t="s">
        <v>85</v>
      </c>
      <c r="B10" s="98" t="s">
        <v>98</v>
      </c>
      <c r="C10" s="1">
        <v>5000000</v>
      </c>
      <c r="D10" s="98" t="s">
        <v>85</v>
      </c>
      <c r="E10" s="98" t="s">
        <v>85</v>
      </c>
      <c r="F10" s="98">
        <v>0</v>
      </c>
      <c r="G10" s="98">
        <v>0</v>
      </c>
      <c r="H10" s="107">
        <v>2</v>
      </c>
      <c r="I10" s="107">
        <v>50</v>
      </c>
      <c r="J10" s="107">
        <v>350</v>
      </c>
      <c r="K10" s="107">
        <v>650</v>
      </c>
      <c r="L10" s="107">
        <v>850</v>
      </c>
      <c r="M10" s="107">
        <v>700</v>
      </c>
      <c r="N10" s="107">
        <v>750</v>
      </c>
      <c r="O10" s="107">
        <v>800</v>
      </c>
      <c r="P10" s="107">
        <v>800</v>
      </c>
      <c r="Q10" s="107">
        <v>450</v>
      </c>
      <c r="R10" s="107">
        <v>560.50000000000011</v>
      </c>
      <c r="S10" s="107">
        <v>214.5</v>
      </c>
      <c r="T10" s="107">
        <v>214.5</v>
      </c>
      <c r="U10" s="107" t="s">
        <v>85</v>
      </c>
    </row>
    <row r="11" spans="1:21">
      <c r="A11" s="98" t="s">
        <v>85</v>
      </c>
      <c r="B11" s="98" t="s">
        <v>104</v>
      </c>
      <c r="C11" s="1">
        <v>2500000</v>
      </c>
      <c r="D11" s="98">
        <v>142.25000000000003</v>
      </c>
      <c r="E11" s="98">
        <v>-96.75</v>
      </c>
      <c r="F11" s="98">
        <v>111.5</v>
      </c>
      <c r="G11" s="98">
        <v>244.5</v>
      </c>
      <c r="H11" s="107">
        <v>373.75</v>
      </c>
      <c r="I11" s="107">
        <v>627.5</v>
      </c>
      <c r="J11" s="107">
        <v>645.74999999999989</v>
      </c>
      <c r="K11" s="107">
        <v>537.24999999999989</v>
      </c>
      <c r="L11" s="107">
        <v>461.5</v>
      </c>
      <c r="M11" s="107">
        <v>277.99999999999994</v>
      </c>
      <c r="N11" s="107">
        <v>250</v>
      </c>
      <c r="O11" s="107">
        <v>300.25</v>
      </c>
      <c r="P11" s="107">
        <v>133</v>
      </c>
      <c r="Q11" s="107">
        <v>154</v>
      </c>
      <c r="R11" s="107">
        <v>176.75</v>
      </c>
      <c r="S11" s="107" t="s">
        <v>85</v>
      </c>
      <c r="T11" s="107" t="s">
        <v>85</v>
      </c>
      <c r="U11" s="107" t="s">
        <v>85</v>
      </c>
    </row>
    <row r="12" spans="1:21">
      <c r="A12" s="98" t="s">
        <v>85</v>
      </c>
      <c r="B12" s="98" t="s">
        <v>86</v>
      </c>
      <c r="C12" s="1">
        <v>2500000</v>
      </c>
      <c r="D12" s="98" t="s">
        <v>85</v>
      </c>
      <c r="E12" s="98" t="s">
        <v>85</v>
      </c>
      <c r="F12" s="98" t="s">
        <v>85</v>
      </c>
      <c r="G12" s="98">
        <v>0</v>
      </c>
      <c r="H12" s="107">
        <v>0</v>
      </c>
      <c r="I12" s="107">
        <v>100</v>
      </c>
      <c r="J12" s="107">
        <v>250</v>
      </c>
      <c r="K12" s="107">
        <v>425</v>
      </c>
      <c r="L12" s="107">
        <v>575</v>
      </c>
      <c r="M12" s="107">
        <v>550</v>
      </c>
      <c r="N12" s="107">
        <v>475</v>
      </c>
      <c r="O12" s="107">
        <v>300</v>
      </c>
      <c r="P12" s="107">
        <v>216.25</v>
      </c>
      <c r="Q12" s="107">
        <v>65.25</v>
      </c>
      <c r="R12" s="107">
        <v>65.25</v>
      </c>
      <c r="S12" s="107">
        <v>65.25</v>
      </c>
      <c r="T12" s="107">
        <v>65.25</v>
      </c>
      <c r="U12" s="107">
        <v>65.25</v>
      </c>
    </row>
    <row r="13" spans="1:21">
      <c r="A13" s="98" t="s">
        <v>85</v>
      </c>
      <c r="B13" s="98" t="s">
        <v>101</v>
      </c>
      <c r="C13" s="1">
        <v>2000000</v>
      </c>
      <c r="D13" s="98" t="s">
        <v>85</v>
      </c>
      <c r="E13" s="98" t="s">
        <v>85</v>
      </c>
      <c r="F13" s="98">
        <v>0</v>
      </c>
      <c r="G13" s="98">
        <v>35</v>
      </c>
      <c r="H13" s="107">
        <v>141.19999999999999</v>
      </c>
      <c r="I13" s="107">
        <v>320</v>
      </c>
      <c r="J13" s="107">
        <v>760</v>
      </c>
      <c r="K13" s="107">
        <v>600</v>
      </c>
      <c r="L13" s="107">
        <v>1160</v>
      </c>
      <c r="M13" s="107">
        <v>760</v>
      </c>
      <c r="N13" s="107">
        <v>720</v>
      </c>
      <c r="O13" s="107">
        <v>560</v>
      </c>
      <c r="P13" s="107">
        <v>440</v>
      </c>
      <c r="Q13" s="107">
        <v>360</v>
      </c>
      <c r="R13" s="107">
        <v>360</v>
      </c>
      <c r="S13" s="107">
        <v>240</v>
      </c>
      <c r="T13" s="107">
        <v>160</v>
      </c>
      <c r="U13" s="107" t="s">
        <v>85</v>
      </c>
    </row>
    <row r="14" spans="1:21">
      <c r="A14" s="98" t="s">
        <v>85</v>
      </c>
      <c r="B14" s="98" t="s">
        <v>103</v>
      </c>
      <c r="C14" s="1">
        <v>4500000</v>
      </c>
      <c r="D14" s="98" t="s">
        <v>85</v>
      </c>
      <c r="E14" s="98">
        <v>1.35</v>
      </c>
      <c r="F14" s="98">
        <v>541.35</v>
      </c>
      <c r="G14" s="98">
        <v>0</v>
      </c>
      <c r="H14" s="107">
        <v>480.15</v>
      </c>
      <c r="I14" s="107">
        <v>789.3</v>
      </c>
      <c r="J14" s="107">
        <v>913.95</v>
      </c>
      <c r="K14" s="107">
        <v>996.75</v>
      </c>
      <c r="L14" s="107">
        <v>789.3</v>
      </c>
      <c r="M14" s="107">
        <v>540</v>
      </c>
      <c r="N14" s="107">
        <v>913.95</v>
      </c>
      <c r="O14" s="107">
        <v>415.35</v>
      </c>
      <c r="P14" s="107">
        <v>290.7</v>
      </c>
      <c r="Q14" s="107">
        <v>166.05</v>
      </c>
      <c r="R14" s="107">
        <v>332.55</v>
      </c>
      <c r="S14" s="107">
        <v>401.4</v>
      </c>
      <c r="T14" s="107" t="s">
        <v>85</v>
      </c>
      <c r="U14" s="107" t="s">
        <v>85</v>
      </c>
    </row>
    <row r="15" spans="1:21">
      <c r="A15" s="98" t="s">
        <v>85</v>
      </c>
      <c r="B15" s="98" t="s">
        <v>90</v>
      </c>
      <c r="C15" s="1">
        <v>4000000</v>
      </c>
      <c r="D15" s="98" t="s">
        <v>85</v>
      </c>
      <c r="E15" s="98" t="s">
        <v>85</v>
      </c>
      <c r="F15" s="98">
        <v>0</v>
      </c>
      <c r="G15" s="98">
        <v>11.2</v>
      </c>
      <c r="H15" s="107">
        <v>24</v>
      </c>
      <c r="I15" s="107">
        <v>280</v>
      </c>
      <c r="J15" s="107">
        <v>600</v>
      </c>
      <c r="K15" s="107">
        <v>760</v>
      </c>
      <c r="L15" s="107">
        <v>800</v>
      </c>
      <c r="M15" s="107">
        <v>1040</v>
      </c>
      <c r="N15" s="107">
        <v>760</v>
      </c>
      <c r="O15" s="107">
        <v>600</v>
      </c>
      <c r="P15" s="107">
        <v>800</v>
      </c>
      <c r="Q15" s="107">
        <v>469.2</v>
      </c>
      <c r="R15" s="107">
        <v>138.80000000000001</v>
      </c>
      <c r="S15" s="107">
        <v>138.80000000000001</v>
      </c>
      <c r="T15" s="107">
        <v>138.4</v>
      </c>
      <c r="U15" s="107" t="s">
        <v>85</v>
      </c>
    </row>
    <row r="16" spans="1:21">
      <c r="A16" s="98" t="s">
        <v>85</v>
      </c>
      <c r="B16" s="98" t="s">
        <v>94</v>
      </c>
      <c r="C16" s="1">
        <v>2500000</v>
      </c>
      <c r="D16" s="98" t="s">
        <v>85</v>
      </c>
      <c r="E16" s="98" t="s">
        <v>85</v>
      </c>
      <c r="F16" s="98" t="s">
        <v>85</v>
      </c>
      <c r="G16" s="98">
        <v>0</v>
      </c>
      <c r="H16" s="107">
        <v>0</v>
      </c>
      <c r="I16" s="107">
        <v>0</v>
      </c>
      <c r="J16" s="107">
        <v>100</v>
      </c>
      <c r="K16" s="107">
        <v>200</v>
      </c>
      <c r="L16" s="107">
        <v>400</v>
      </c>
      <c r="M16" s="107">
        <v>375</v>
      </c>
      <c r="N16" s="107">
        <v>425</v>
      </c>
      <c r="O16" s="107">
        <v>775</v>
      </c>
      <c r="P16" s="107">
        <v>425</v>
      </c>
      <c r="Q16" s="107">
        <v>325</v>
      </c>
      <c r="R16" s="107">
        <v>325</v>
      </c>
      <c r="S16" s="107">
        <v>268.25</v>
      </c>
      <c r="T16" s="107">
        <v>136.25</v>
      </c>
      <c r="U16" s="107">
        <v>136.5</v>
      </c>
    </row>
    <row r="17" spans="1:21">
      <c r="A17" s="98" t="s">
        <v>85</v>
      </c>
      <c r="B17" s="98" t="s">
        <v>88</v>
      </c>
      <c r="C17" s="1">
        <v>3000000</v>
      </c>
      <c r="D17" s="98" t="s">
        <v>85</v>
      </c>
      <c r="E17" s="98" t="s">
        <v>85</v>
      </c>
      <c r="F17" s="98" t="s">
        <v>85</v>
      </c>
      <c r="G17" s="98">
        <v>5.7</v>
      </c>
      <c r="H17" s="107">
        <v>20.100000000000001</v>
      </c>
      <c r="I17" s="107">
        <v>210</v>
      </c>
      <c r="J17" s="107">
        <v>480</v>
      </c>
      <c r="K17" s="107">
        <v>630</v>
      </c>
      <c r="L17" s="107">
        <v>660</v>
      </c>
      <c r="M17" s="107">
        <v>660</v>
      </c>
      <c r="N17" s="107">
        <v>390</v>
      </c>
      <c r="O17" s="107">
        <v>360</v>
      </c>
      <c r="P17" s="107">
        <v>204.9</v>
      </c>
      <c r="Q17" s="107">
        <v>72.900000000000006</v>
      </c>
      <c r="R17" s="107">
        <v>73.2</v>
      </c>
      <c r="S17" s="107">
        <v>72.900000000000006</v>
      </c>
      <c r="T17" s="107">
        <v>73.2</v>
      </c>
      <c r="U17" s="107" t="s">
        <v>85</v>
      </c>
    </row>
    <row r="18" spans="1:21">
      <c r="A18" s="98" t="s">
        <v>85</v>
      </c>
      <c r="B18" s="98" t="s">
        <v>99</v>
      </c>
      <c r="C18" s="1">
        <v>2500000</v>
      </c>
      <c r="D18" s="98" t="s">
        <v>85</v>
      </c>
      <c r="E18" s="98" t="s">
        <v>85</v>
      </c>
      <c r="F18" s="98">
        <v>0</v>
      </c>
      <c r="G18" s="98">
        <v>80</v>
      </c>
      <c r="H18" s="107">
        <v>0</v>
      </c>
      <c r="I18" s="107">
        <v>75</v>
      </c>
      <c r="J18" s="107">
        <v>250</v>
      </c>
      <c r="K18" s="107">
        <v>500</v>
      </c>
      <c r="L18" s="107">
        <v>450</v>
      </c>
      <c r="M18" s="107">
        <v>575</v>
      </c>
      <c r="N18" s="107">
        <v>575</v>
      </c>
      <c r="O18" s="107">
        <v>475</v>
      </c>
      <c r="P18" s="107">
        <v>375</v>
      </c>
      <c r="Q18" s="107">
        <v>450</v>
      </c>
      <c r="R18" s="107">
        <v>161.75</v>
      </c>
      <c r="S18" s="107">
        <v>86.5</v>
      </c>
      <c r="T18" s="107">
        <v>86.75</v>
      </c>
      <c r="U18" s="107" t="s">
        <v>85</v>
      </c>
    </row>
    <row r="19" spans="1:21">
      <c r="A19" s="98" t="s">
        <v>85</v>
      </c>
      <c r="B19" s="98" t="s">
        <v>97</v>
      </c>
      <c r="C19" s="1">
        <v>2500000</v>
      </c>
      <c r="D19" s="98" t="s">
        <v>85</v>
      </c>
      <c r="E19" s="98" t="s">
        <v>85</v>
      </c>
      <c r="F19" s="98">
        <v>0</v>
      </c>
      <c r="G19" s="98">
        <v>65.75</v>
      </c>
      <c r="H19" s="107">
        <v>0</v>
      </c>
      <c r="I19" s="107">
        <v>75</v>
      </c>
      <c r="J19" s="107">
        <v>200</v>
      </c>
      <c r="K19" s="107">
        <v>300</v>
      </c>
      <c r="L19" s="107">
        <v>400</v>
      </c>
      <c r="M19" s="107">
        <v>450</v>
      </c>
      <c r="N19" s="107">
        <v>375</v>
      </c>
      <c r="O19" s="107">
        <v>350</v>
      </c>
      <c r="P19" s="107">
        <v>375</v>
      </c>
      <c r="Q19" s="107">
        <v>250</v>
      </c>
      <c r="R19" s="107">
        <v>232.24999999999997</v>
      </c>
      <c r="S19" s="107">
        <v>107</v>
      </c>
      <c r="T19" s="107">
        <v>107.25</v>
      </c>
      <c r="U19" s="107" t="s">
        <v>85</v>
      </c>
    </row>
    <row r="20" spans="1:21">
      <c r="A20" s="98" t="s">
        <v>85</v>
      </c>
      <c r="B20" s="98" t="s">
        <v>96</v>
      </c>
      <c r="C20" s="1">
        <v>2000000</v>
      </c>
      <c r="D20" s="98" t="s">
        <v>85</v>
      </c>
      <c r="E20" s="98">
        <v>115.8</v>
      </c>
      <c r="F20" s="98">
        <v>121.6</v>
      </c>
      <c r="G20" s="98">
        <v>127</v>
      </c>
      <c r="H20" s="107">
        <v>272.8</v>
      </c>
      <c r="I20" s="107">
        <v>526.4</v>
      </c>
      <c r="J20" s="107">
        <v>481.2</v>
      </c>
      <c r="K20" s="107">
        <v>419.4</v>
      </c>
      <c r="L20" s="107">
        <v>288.8</v>
      </c>
      <c r="M20" s="107">
        <v>112.4</v>
      </c>
      <c r="N20" s="107">
        <v>35.4</v>
      </c>
      <c r="O20" s="107">
        <v>35.4</v>
      </c>
      <c r="P20" s="107">
        <v>35.4</v>
      </c>
      <c r="Q20" s="107">
        <v>35.4</v>
      </c>
      <c r="R20" s="107">
        <v>35.4</v>
      </c>
      <c r="S20" s="107">
        <v>35.4</v>
      </c>
      <c r="T20" s="107" t="s">
        <v>85</v>
      </c>
      <c r="U20" s="107" t="s">
        <v>85</v>
      </c>
    </row>
    <row r="21" spans="1:21">
      <c r="A21" s="98" t="s">
        <v>85</v>
      </c>
      <c r="B21" s="98" t="s">
        <v>102</v>
      </c>
      <c r="C21" s="1">
        <v>1500000</v>
      </c>
      <c r="D21" s="98" t="s">
        <v>85</v>
      </c>
      <c r="E21" s="98">
        <v>0</v>
      </c>
      <c r="F21" s="98">
        <v>90.75</v>
      </c>
      <c r="G21" s="98">
        <v>24.75</v>
      </c>
      <c r="H21" s="107">
        <v>208.65</v>
      </c>
      <c r="I21" s="107">
        <v>328.8</v>
      </c>
      <c r="J21" s="107">
        <v>350.1</v>
      </c>
      <c r="K21" s="107">
        <v>331.2</v>
      </c>
      <c r="L21" s="107">
        <v>271.95</v>
      </c>
      <c r="M21" s="107">
        <v>182.85</v>
      </c>
      <c r="N21" s="107">
        <v>124.95</v>
      </c>
      <c r="O21" s="107">
        <v>161.85</v>
      </c>
      <c r="P21" s="107">
        <v>110.4</v>
      </c>
      <c r="Q21" s="107">
        <v>63.75</v>
      </c>
      <c r="R21" s="107">
        <v>63.75</v>
      </c>
      <c r="S21" s="107">
        <v>63.75</v>
      </c>
      <c r="T21" s="107" t="s">
        <v>85</v>
      </c>
      <c r="U21" s="107" t="s">
        <v>85</v>
      </c>
    </row>
    <row r="22" spans="1:21">
      <c r="A22" s="98" t="s">
        <v>85</v>
      </c>
      <c r="B22" s="98" t="s">
        <v>89</v>
      </c>
      <c r="C22" s="1">
        <v>3500000</v>
      </c>
      <c r="D22" s="98" t="s">
        <v>85</v>
      </c>
      <c r="E22" s="98" t="s">
        <v>85</v>
      </c>
      <c r="F22" s="98" t="s">
        <v>85</v>
      </c>
      <c r="G22" s="98">
        <v>0</v>
      </c>
      <c r="H22" s="107">
        <v>29.05</v>
      </c>
      <c r="I22" s="107">
        <v>245</v>
      </c>
      <c r="J22" s="107">
        <v>560</v>
      </c>
      <c r="K22" s="107">
        <v>735</v>
      </c>
      <c r="L22" s="107">
        <v>770</v>
      </c>
      <c r="M22" s="107">
        <v>770</v>
      </c>
      <c r="N22" s="107">
        <v>455</v>
      </c>
      <c r="O22" s="107">
        <v>420</v>
      </c>
      <c r="P22" s="107">
        <v>239.05</v>
      </c>
      <c r="Q22" s="107">
        <v>85.05</v>
      </c>
      <c r="R22" s="107">
        <v>85.4</v>
      </c>
      <c r="S22" s="107">
        <v>85.05</v>
      </c>
      <c r="T22" s="107">
        <v>85.4</v>
      </c>
      <c r="U22" s="107" t="s">
        <v>85</v>
      </c>
    </row>
    <row r="23" spans="1:21">
      <c r="A23" s="98" t="s">
        <v>85</v>
      </c>
      <c r="B23" s="98" t="s">
        <v>92</v>
      </c>
      <c r="C23" s="1">
        <v>2500000</v>
      </c>
      <c r="D23" s="98" t="s">
        <v>85</v>
      </c>
      <c r="E23" s="98" t="s">
        <v>85</v>
      </c>
      <c r="F23" s="98">
        <v>0</v>
      </c>
      <c r="G23" s="98">
        <v>0</v>
      </c>
      <c r="H23" s="107">
        <v>104</v>
      </c>
      <c r="I23" s="107">
        <v>350</v>
      </c>
      <c r="J23" s="107">
        <v>450</v>
      </c>
      <c r="K23" s="107">
        <v>525</v>
      </c>
      <c r="L23" s="107">
        <v>600</v>
      </c>
      <c r="M23" s="107">
        <v>400</v>
      </c>
      <c r="N23" s="107">
        <v>275</v>
      </c>
      <c r="O23" s="107">
        <v>182.5</v>
      </c>
      <c r="P23" s="107">
        <v>65.25</v>
      </c>
      <c r="Q23" s="107">
        <v>65.25</v>
      </c>
      <c r="R23" s="107">
        <v>65.25</v>
      </c>
      <c r="S23" s="107">
        <v>65.25</v>
      </c>
      <c r="T23" s="107">
        <v>65.25</v>
      </c>
      <c r="U23" s="107" t="s">
        <v>85</v>
      </c>
    </row>
    <row r="24" spans="1:21">
      <c r="A24" s="98" t="s">
        <v>85</v>
      </c>
      <c r="B24" s="98" t="s">
        <v>100</v>
      </c>
      <c r="C24" s="1">
        <v>2500000</v>
      </c>
      <c r="D24" s="98" t="s">
        <v>85</v>
      </c>
      <c r="E24" s="98" t="s">
        <v>85</v>
      </c>
      <c r="F24" s="98" t="s">
        <v>85</v>
      </c>
      <c r="G24" s="98" t="s">
        <v>85</v>
      </c>
      <c r="H24" s="107">
        <v>0</v>
      </c>
      <c r="I24" s="107">
        <v>25</v>
      </c>
      <c r="J24" s="107">
        <v>150</v>
      </c>
      <c r="K24" s="107">
        <v>400</v>
      </c>
      <c r="L24" s="107">
        <v>525</v>
      </c>
      <c r="M24" s="107">
        <v>475</v>
      </c>
      <c r="N24" s="107">
        <v>550</v>
      </c>
      <c r="O24" s="107">
        <v>425</v>
      </c>
      <c r="P24" s="107">
        <v>200</v>
      </c>
      <c r="Q24" s="107">
        <v>174</v>
      </c>
      <c r="R24" s="107">
        <v>65.25</v>
      </c>
      <c r="S24" s="107">
        <v>65</v>
      </c>
      <c r="T24" s="107">
        <v>65.25</v>
      </c>
      <c r="U24" s="107">
        <v>65.25</v>
      </c>
    </row>
    <row r="25" spans="1:21">
      <c r="A25" s="98" t="s">
        <v>85</v>
      </c>
      <c r="B25" s="98" t="s">
        <v>91</v>
      </c>
      <c r="C25" s="1">
        <v>2500000</v>
      </c>
      <c r="D25" s="98" t="s">
        <v>85</v>
      </c>
      <c r="E25" s="98">
        <v>0</v>
      </c>
      <c r="F25" s="98">
        <v>2204.5000000000005</v>
      </c>
      <c r="G25" s="98">
        <v>314.75</v>
      </c>
      <c r="H25" s="107">
        <v>428.75</v>
      </c>
      <c r="I25" s="107">
        <v>489.25</v>
      </c>
      <c r="J25" s="107">
        <v>400</v>
      </c>
      <c r="K25" s="107">
        <v>370</v>
      </c>
      <c r="L25" s="107">
        <v>300</v>
      </c>
      <c r="M25" s="107">
        <v>11.75</v>
      </c>
      <c r="N25" s="107">
        <v>0.5</v>
      </c>
      <c r="O25" s="107">
        <v>0.75</v>
      </c>
      <c r="P25" s="107">
        <v>0.5</v>
      </c>
      <c r="Q25" s="107">
        <v>0.5</v>
      </c>
      <c r="R25" s="107">
        <v>0.5</v>
      </c>
      <c r="S25" s="107">
        <v>0.5</v>
      </c>
      <c r="T25" s="107" t="s">
        <v>85</v>
      </c>
      <c r="U25" s="107" t="s">
        <v>85</v>
      </c>
    </row>
    <row r="26" spans="1:21">
      <c r="C26" s="108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</row>
    <row r="27" spans="1:21">
      <c r="C27" s="112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</row>
  </sheetData>
  <autoFilter ref="A3:U25" xr:uid="{81DF6B05-A37A-40D7-A2EE-0974186BF3D6}">
    <sortState xmlns:xlrd2="http://schemas.microsoft.com/office/spreadsheetml/2017/richdata2" ref="A4:U25">
      <sortCondition ref="B3:B25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A015-973C-4A98-8129-934BF29BDECD}">
  <sheetPr codeName="Sheet14">
    <tabColor theme="4"/>
  </sheetPr>
  <dimension ref="A1:AX24"/>
  <sheetViews>
    <sheetView workbookViewId="0">
      <selection activeCell="D29" sqref="D29"/>
    </sheetView>
  </sheetViews>
  <sheetFormatPr defaultRowHeight="18.75"/>
  <cols>
    <col min="1" max="2" width="14.28515625" style="96" customWidth="1"/>
    <col min="3" max="3" width="21.42578125" style="96" customWidth="1"/>
    <col min="4" max="4" width="78.5703125" style="96" customWidth="1"/>
    <col min="5" max="5" width="14.28515625" style="96" customWidth="1"/>
    <col min="6" max="6" width="57.140625" style="96" customWidth="1"/>
    <col min="7" max="7" width="24.28515625" style="96" customWidth="1"/>
    <col min="8" max="9" width="28.5703125" style="96" customWidth="1"/>
    <col min="10" max="10" width="27.140625" style="96" customWidth="1"/>
    <col min="11" max="11" width="24.28515625" style="96" customWidth="1"/>
    <col min="12" max="12" width="28.5703125" style="96" customWidth="1"/>
    <col min="13" max="13" width="24.28515625" style="96" customWidth="1"/>
    <col min="14" max="14" width="20" style="96" customWidth="1"/>
    <col min="15" max="15" width="14.28515625" style="96" customWidth="1"/>
    <col min="16" max="16" width="24.28515625" style="96" customWidth="1"/>
    <col min="17" max="18" width="25.7109375" style="96" customWidth="1"/>
    <col min="19" max="19" width="40" style="96" customWidth="1"/>
    <col min="20" max="23" width="30" style="96" customWidth="1"/>
    <col min="24" max="26" width="24.28515625" style="96" customWidth="1"/>
    <col min="27" max="27" width="15.7109375" style="96" customWidth="1"/>
    <col min="28" max="32" width="24.28515625" style="96" customWidth="1"/>
    <col min="33" max="33" width="30" style="96" customWidth="1"/>
    <col min="34" max="34" width="20" style="96" customWidth="1"/>
    <col min="35" max="35" width="14.28515625" style="96" customWidth="1"/>
    <col min="36" max="37" width="15.7109375" style="96" customWidth="1"/>
    <col min="38" max="41" width="20" style="96" customWidth="1"/>
    <col min="42" max="43" width="15.7109375" style="96" customWidth="1"/>
    <col min="44" max="90" width="24.28515625" style="96" customWidth="1"/>
    <col min="91" max="16384" width="9.140625" style="96"/>
  </cols>
  <sheetData>
    <row r="1" spans="1:50">
      <c r="A1" s="96" t="s">
        <v>85</v>
      </c>
      <c r="B1" s="96" t="s">
        <v>85</v>
      </c>
      <c r="C1" s="144" t="s">
        <v>293</v>
      </c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 t="s">
        <v>292</v>
      </c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 t="s">
        <v>291</v>
      </c>
      <c r="AT1" s="144"/>
      <c r="AU1" s="144"/>
      <c r="AV1" s="144"/>
      <c r="AW1" s="144"/>
      <c r="AX1" s="144"/>
    </row>
    <row r="2" spans="1:50">
      <c r="A2" s="96" t="s">
        <v>85</v>
      </c>
      <c r="B2" s="96" t="s">
        <v>85</v>
      </c>
      <c r="C2" s="96" t="s">
        <v>290</v>
      </c>
      <c r="D2" s="96" t="s">
        <v>125</v>
      </c>
      <c r="E2" s="96" t="s">
        <v>289</v>
      </c>
      <c r="F2" s="96" t="s">
        <v>288</v>
      </c>
      <c r="G2" s="96" t="s">
        <v>287</v>
      </c>
      <c r="H2" s="96" t="s">
        <v>286</v>
      </c>
      <c r="I2" s="96" t="s">
        <v>285</v>
      </c>
      <c r="J2" s="96" t="s">
        <v>284</v>
      </c>
      <c r="K2" s="96" t="s">
        <v>283</v>
      </c>
      <c r="L2" s="96" t="s">
        <v>282</v>
      </c>
      <c r="M2" s="96" t="s">
        <v>281</v>
      </c>
      <c r="N2" s="96" t="s">
        <v>280</v>
      </c>
      <c r="O2" s="96" t="s">
        <v>279</v>
      </c>
      <c r="P2" s="96" t="s">
        <v>278</v>
      </c>
      <c r="Q2" s="96" t="s">
        <v>277</v>
      </c>
      <c r="R2" s="96" t="s">
        <v>276</v>
      </c>
      <c r="S2" s="96" t="s">
        <v>275</v>
      </c>
      <c r="T2" s="96" t="s">
        <v>274</v>
      </c>
      <c r="U2" s="96" t="s">
        <v>273</v>
      </c>
      <c r="V2" s="96" t="s">
        <v>272</v>
      </c>
      <c r="W2" s="96" t="s">
        <v>271</v>
      </c>
      <c r="X2" s="96" t="s">
        <v>270</v>
      </c>
      <c r="Y2" s="96" t="s">
        <v>269</v>
      </c>
      <c r="Z2" s="96" t="s">
        <v>268</v>
      </c>
      <c r="AA2" s="96" t="s">
        <v>267</v>
      </c>
      <c r="AB2" s="96" t="s">
        <v>266</v>
      </c>
      <c r="AC2" s="96" t="s">
        <v>265</v>
      </c>
      <c r="AD2" s="96" t="s">
        <v>264</v>
      </c>
      <c r="AE2" s="96" t="s">
        <v>263</v>
      </c>
      <c r="AF2" s="96" t="s">
        <v>262</v>
      </c>
      <c r="AG2" s="96" t="s">
        <v>261</v>
      </c>
      <c r="AH2" s="96" t="s">
        <v>260</v>
      </c>
      <c r="AI2" s="96" t="s">
        <v>259</v>
      </c>
      <c r="AJ2" s="96" t="s">
        <v>258</v>
      </c>
      <c r="AK2" s="96" t="s">
        <v>257</v>
      </c>
      <c r="AL2" s="96" t="s">
        <v>256</v>
      </c>
      <c r="AM2" s="96" t="s">
        <v>255</v>
      </c>
      <c r="AN2" s="96" t="s">
        <v>254</v>
      </c>
      <c r="AO2" s="96" t="s">
        <v>253</v>
      </c>
      <c r="AP2" s="96" t="s">
        <v>252</v>
      </c>
      <c r="AQ2" s="96" t="s">
        <v>251</v>
      </c>
      <c r="AR2" s="96" t="s">
        <v>250</v>
      </c>
      <c r="AS2" s="96" t="s">
        <v>249</v>
      </c>
      <c r="AT2" s="96" t="s">
        <v>248</v>
      </c>
      <c r="AU2" s="96" t="s">
        <v>247</v>
      </c>
      <c r="AV2" s="96" t="s">
        <v>246</v>
      </c>
      <c r="AW2" s="96" t="s">
        <v>245</v>
      </c>
      <c r="AX2" s="96" t="s">
        <v>244</v>
      </c>
    </row>
    <row r="3" spans="1:50">
      <c r="A3" s="96" t="s">
        <v>85</v>
      </c>
      <c r="B3" s="96" t="s">
        <v>85</v>
      </c>
      <c r="C3" s="96">
        <v>89183</v>
      </c>
      <c r="D3" s="96" t="s">
        <v>105</v>
      </c>
      <c r="E3" s="96">
        <v>0</v>
      </c>
      <c r="F3" s="96" t="s">
        <v>233</v>
      </c>
      <c r="G3" s="96">
        <v>2020</v>
      </c>
      <c r="H3" s="96" t="s">
        <v>232</v>
      </c>
      <c r="I3" s="96" t="s">
        <v>231</v>
      </c>
      <c r="J3" s="97">
        <v>2500000</v>
      </c>
      <c r="K3" s="97">
        <v>1260500.76</v>
      </c>
      <c r="L3" s="97">
        <v>1262184.02</v>
      </c>
      <c r="M3" s="97">
        <v>0</v>
      </c>
      <c r="N3" s="96">
        <v>50</v>
      </c>
      <c r="O3" s="96">
        <v>0</v>
      </c>
      <c r="P3" s="97">
        <v>50286.6</v>
      </c>
      <c r="Q3" s="97">
        <v>0</v>
      </c>
      <c r="R3" s="97">
        <v>1342180.81</v>
      </c>
      <c r="S3" s="96" t="s">
        <v>204</v>
      </c>
      <c r="T3" s="97">
        <v>1239499.24</v>
      </c>
      <c r="U3" s="97">
        <v>0</v>
      </c>
      <c r="V3" s="97">
        <v>0</v>
      </c>
      <c r="W3" s="97">
        <v>0</v>
      </c>
      <c r="X3" s="96" t="s">
        <v>212</v>
      </c>
      <c r="Y3" s="96" t="s">
        <v>130</v>
      </c>
      <c r="Z3" s="96" t="s">
        <v>148</v>
      </c>
      <c r="AA3" s="96">
        <v>8491606</v>
      </c>
      <c r="AB3" s="97">
        <v>1239499.24</v>
      </c>
      <c r="AC3" s="97">
        <v>22684.78</v>
      </c>
      <c r="AD3" s="97">
        <v>137276.25</v>
      </c>
      <c r="AE3" s="97">
        <v>12985.54</v>
      </c>
      <c r="AF3" s="96">
        <v>8491042</v>
      </c>
      <c r="AG3" s="97">
        <v>1294930</v>
      </c>
      <c r="AH3" s="96" t="s">
        <v>128</v>
      </c>
      <c r="AI3" s="96">
        <v>1.07</v>
      </c>
      <c r="AJ3" s="96">
        <v>9.0399999999999991</v>
      </c>
      <c r="AK3" s="96">
        <v>11.46</v>
      </c>
      <c r="AL3" s="96">
        <v>13.4</v>
      </c>
      <c r="AM3" s="96" t="s">
        <v>85</v>
      </c>
      <c r="AN3" s="96" t="s">
        <v>85</v>
      </c>
      <c r="AO3" s="96" t="s">
        <v>85</v>
      </c>
      <c r="AP3" s="96">
        <v>1.07</v>
      </c>
      <c r="AQ3" s="96">
        <v>1.0912799900030916</v>
      </c>
      <c r="AR3" s="96" t="s">
        <v>230</v>
      </c>
      <c r="AS3" s="96" t="s">
        <v>146</v>
      </c>
      <c r="AT3" s="96">
        <v>-21.33</v>
      </c>
      <c r="AU3" s="96">
        <v>30.37</v>
      </c>
      <c r="AV3" s="96">
        <v>0</v>
      </c>
      <c r="AW3" s="96">
        <v>0</v>
      </c>
      <c r="AX3" s="96">
        <v>9.0399999999999991</v>
      </c>
    </row>
    <row r="4" spans="1:50">
      <c r="A4" s="96" t="s">
        <v>85</v>
      </c>
      <c r="B4" s="96" t="s">
        <v>85</v>
      </c>
      <c r="C4" s="96">
        <v>89183</v>
      </c>
      <c r="D4" s="96" t="s">
        <v>238</v>
      </c>
      <c r="E4" s="96">
        <v>0</v>
      </c>
      <c r="F4" s="96" t="s">
        <v>237</v>
      </c>
      <c r="G4" s="96">
        <v>2019</v>
      </c>
      <c r="H4" s="96" t="s">
        <v>236</v>
      </c>
      <c r="I4" s="96" t="s">
        <v>235</v>
      </c>
      <c r="J4" s="97">
        <v>4500000</v>
      </c>
      <c r="K4" s="97">
        <v>1162638.17</v>
      </c>
      <c r="L4" s="97">
        <v>3643895.92</v>
      </c>
      <c r="M4" s="97">
        <v>283071.53000000003</v>
      </c>
      <c r="N4" s="96">
        <v>80</v>
      </c>
      <c r="O4" s="96">
        <v>7.7683758322054375E-2</v>
      </c>
      <c r="P4" s="97">
        <v>1078022.48</v>
      </c>
      <c r="Q4" s="97">
        <v>0</v>
      </c>
      <c r="R4" s="97">
        <v>3788313.98</v>
      </c>
      <c r="S4" s="96" t="s">
        <v>204</v>
      </c>
      <c r="T4" s="97">
        <v>3337361.83</v>
      </c>
      <c r="U4" s="97">
        <v>0</v>
      </c>
      <c r="V4" s="97">
        <v>283071.53000000003</v>
      </c>
      <c r="W4" s="97">
        <v>0</v>
      </c>
      <c r="X4" s="96" t="s">
        <v>203</v>
      </c>
      <c r="Y4" s="96" t="s">
        <v>130</v>
      </c>
      <c r="Z4" s="96" t="s">
        <v>129</v>
      </c>
      <c r="AA4" s="96">
        <v>7778234</v>
      </c>
      <c r="AB4" s="97">
        <v>3620433.36</v>
      </c>
      <c r="AC4" s="97">
        <v>23462.560000000001</v>
      </c>
      <c r="AD4" s="97">
        <v>312948.96000000002</v>
      </c>
      <c r="AE4" s="97">
        <v>18649.73</v>
      </c>
      <c r="AF4" s="96">
        <v>7778228</v>
      </c>
      <c r="AG4" s="97">
        <v>2710291.5</v>
      </c>
      <c r="AH4" s="96" t="s">
        <v>128</v>
      </c>
      <c r="AI4" s="96">
        <v>1.17</v>
      </c>
      <c r="AJ4" s="96">
        <v>16.23</v>
      </c>
      <c r="AK4" s="96">
        <v>17.32</v>
      </c>
      <c r="AL4" s="96">
        <v>8.4700000000000006</v>
      </c>
      <c r="AM4" s="96" t="s">
        <v>85</v>
      </c>
      <c r="AN4" s="96" t="s">
        <v>85</v>
      </c>
      <c r="AO4" s="96" t="s">
        <v>85</v>
      </c>
      <c r="AP4" s="96">
        <v>1.1299999999999999</v>
      </c>
      <c r="AQ4" s="96">
        <v>1.1353825670043092</v>
      </c>
      <c r="AR4" s="96" t="s">
        <v>234</v>
      </c>
      <c r="AS4" s="96" t="s">
        <v>135</v>
      </c>
      <c r="AT4" s="96">
        <v>-13.68</v>
      </c>
      <c r="AU4" s="96">
        <v>29.91</v>
      </c>
      <c r="AV4" s="96">
        <v>0</v>
      </c>
      <c r="AW4" s="96">
        <v>0</v>
      </c>
      <c r="AX4" s="96">
        <v>16.23</v>
      </c>
    </row>
    <row r="5" spans="1:50">
      <c r="A5" s="96" t="s">
        <v>85</v>
      </c>
      <c r="B5" s="96" t="s">
        <v>85</v>
      </c>
      <c r="C5" s="96">
        <v>89183</v>
      </c>
      <c r="D5" s="96" t="s">
        <v>210</v>
      </c>
      <c r="E5" s="96">
        <v>0</v>
      </c>
      <c r="F5" s="96" t="s">
        <v>209</v>
      </c>
      <c r="G5" s="96">
        <v>2022</v>
      </c>
      <c r="H5" s="96" t="s">
        <v>132</v>
      </c>
      <c r="I5" s="96" t="s">
        <v>132</v>
      </c>
      <c r="J5" s="97">
        <v>5000000</v>
      </c>
      <c r="K5" s="97">
        <v>5000000</v>
      </c>
      <c r="L5" s="97">
        <v>0</v>
      </c>
      <c r="M5" s="97">
        <v>0</v>
      </c>
      <c r="N5" s="96">
        <v>0</v>
      </c>
      <c r="O5" s="96">
        <v>0</v>
      </c>
      <c r="P5" s="97">
        <v>0</v>
      </c>
      <c r="Q5" s="97">
        <v>0</v>
      </c>
      <c r="R5" s="97">
        <v>0</v>
      </c>
      <c r="S5" s="96" t="s">
        <v>204</v>
      </c>
      <c r="T5" s="97">
        <v>0</v>
      </c>
      <c r="U5" s="97">
        <v>0</v>
      </c>
      <c r="V5" s="97">
        <v>0</v>
      </c>
      <c r="W5" s="97">
        <v>0</v>
      </c>
      <c r="X5" s="96" t="s">
        <v>203</v>
      </c>
      <c r="Y5" s="96" t="s">
        <v>130</v>
      </c>
      <c r="Z5" s="96" t="s">
        <v>129</v>
      </c>
      <c r="AA5" s="96">
        <v>11264269</v>
      </c>
      <c r="AB5" s="97">
        <v>0</v>
      </c>
      <c r="AC5" s="97">
        <v>0</v>
      </c>
      <c r="AD5" s="97">
        <v>0</v>
      </c>
      <c r="AE5" s="97">
        <v>0</v>
      </c>
      <c r="AF5" s="96">
        <v>11259909</v>
      </c>
      <c r="AG5" s="97">
        <v>0</v>
      </c>
      <c r="AH5" s="96" t="s">
        <v>85</v>
      </c>
      <c r="AI5" s="96" t="s">
        <v>126</v>
      </c>
      <c r="AJ5" s="96" t="s">
        <v>126</v>
      </c>
      <c r="AK5" s="96" t="s">
        <v>126</v>
      </c>
      <c r="AL5" s="96" t="s">
        <v>126</v>
      </c>
      <c r="AM5" s="96" t="s">
        <v>126</v>
      </c>
      <c r="AN5" s="96" t="s">
        <v>126</v>
      </c>
      <c r="AO5" s="96" t="s">
        <v>126</v>
      </c>
      <c r="AP5" s="96" t="s">
        <v>126</v>
      </c>
      <c r="AQ5" s="96" t="s">
        <v>126</v>
      </c>
      <c r="AR5" s="96" t="s">
        <v>173</v>
      </c>
      <c r="AS5" s="96">
        <v>0</v>
      </c>
      <c r="AT5" s="96" t="s">
        <v>126</v>
      </c>
      <c r="AU5" s="96" t="s">
        <v>126</v>
      </c>
      <c r="AV5" s="96">
        <v>0</v>
      </c>
      <c r="AW5" s="96" t="s">
        <v>126</v>
      </c>
      <c r="AX5" s="96" t="s">
        <v>126</v>
      </c>
    </row>
    <row r="6" spans="1:50">
      <c r="A6" s="96" t="s">
        <v>85</v>
      </c>
      <c r="B6" s="96" t="s">
        <v>85</v>
      </c>
      <c r="C6" s="96">
        <v>89183</v>
      </c>
      <c r="D6" s="96" t="s">
        <v>221</v>
      </c>
      <c r="E6" s="96">
        <v>0</v>
      </c>
      <c r="F6" s="96" t="s">
        <v>220</v>
      </c>
      <c r="G6" s="96">
        <v>2020</v>
      </c>
      <c r="H6" s="96" t="s">
        <v>219</v>
      </c>
      <c r="I6" s="96" t="s">
        <v>218</v>
      </c>
      <c r="J6" s="97">
        <v>5000000</v>
      </c>
      <c r="K6" s="97">
        <v>2000000.08</v>
      </c>
      <c r="L6" s="97">
        <v>3889557.53</v>
      </c>
      <c r="M6" s="97">
        <v>870021.49</v>
      </c>
      <c r="N6" s="96">
        <v>77</v>
      </c>
      <c r="O6" s="96">
        <v>0.22368135277330634</v>
      </c>
      <c r="P6" s="97">
        <v>236369.37</v>
      </c>
      <c r="Q6" s="97">
        <v>10061.85</v>
      </c>
      <c r="R6" s="97">
        <v>3384859.83</v>
      </c>
      <c r="S6" s="96" t="s">
        <v>204</v>
      </c>
      <c r="T6" s="97">
        <v>2999999.92</v>
      </c>
      <c r="U6" s="97">
        <v>106664.19</v>
      </c>
      <c r="V6" s="97">
        <v>750838.12</v>
      </c>
      <c r="W6" s="97">
        <v>119183.37</v>
      </c>
      <c r="X6" s="96" t="s">
        <v>203</v>
      </c>
      <c r="Y6" s="96" t="s">
        <v>130</v>
      </c>
      <c r="Z6" s="96" t="s">
        <v>148</v>
      </c>
      <c r="AA6" s="96">
        <v>8962598</v>
      </c>
      <c r="AB6" s="97">
        <v>3750838.04</v>
      </c>
      <c r="AC6" s="97">
        <v>138719.49</v>
      </c>
      <c r="AD6" s="97">
        <v>126200.31</v>
      </c>
      <c r="AE6" s="97">
        <v>24988.99</v>
      </c>
      <c r="AF6" s="96">
        <v>8961750</v>
      </c>
      <c r="AG6" s="97">
        <v>3163175</v>
      </c>
      <c r="AH6" s="96" t="s">
        <v>128</v>
      </c>
      <c r="AI6" s="96">
        <v>1.1000000000000001</v>
      </c>
      <c r="AJ6" s="96">
        <v>14.21</v>
      </c>
      <c r="AK6" s="96">
        <v>17.2</v>
      </c>
      <c r="AL6" s="96">
        <v>3.21</v>
      </c>
      <c r="AM6" s="96" t="s">
        <v>85</v>
      </c>
      <c r="AN6" s="96" t="s">
        <v>85</v>
      </c>
      <c r="AO6" s="96" t="s">
        <v>85</v>
      </c>
      <c r="AP6" s="96">
        <v>1.0900000000000001</v>
      </c>
      <c r="AQ6" s="96">
        <v>1.1136020525162424</v>
      </c>
      <c r="AR6" s="96" t="s">
        <v>217</v>
      </c>
      <c r="AS6" s="96" t="s">
        <v>146</v>
      </c>
      <c r="AT6" s="96">
        <v>-12.13</v>
      </c>
      <c r="AU6" s="96">
        <v>26.34</v>
      </c>
      <c r="AV6" s="96">
        <v>0</v>
      </c>
      <c r="AW6" s="96">
        <v>0</v>
      </c>
      <c r="AX6" s="96">
        <v>14.21</v>
      </c>
    </row>
    <row r="7" spans="1:50">
      <c r="A7" s="96" t="s">
        <v>85</v>
      </c>
      <c r="B7" s="96" t="s">
        <v>85</v>
      </c>
      <c r="C7" s="96">
        <v>89183</v>
      </c>
      <c r="D7" s="96" t="s">
        <v>208</v>
      </c>
      <c r="E7" s="96">
        <v>0</v>
      </c>
      <c r="F7" s="96" t="s">
        <v>207</v>
      </c>
      <c r="G7" s="96">
        <v>2022</v>
      </c>
      <c r="H7" s="96" t="s">
        <v>206</v>
      </c>
      <c r="I7" s="96" t="s">
        <v>205</v>
      </c>
      <c r="J7" s="97">
        <v>5000000</v>
      </c>
      <c r="K7" s="97">
        <v>5000000</v>
      </c>
      <c r="L7" s="97">
        <v>0</v>
      </c>
      <c r="M7" s="97">
        <v>0</v>
      </c>
      <c r="N7" s="96">
        <v>0</v>
      </c>
      <c r="O7" s="96">
        <v>0</v>
      </c>
      <c r="P7" s="97">
        <v>0</v>
      </c>
      <c r="Q7" s="97">
        <v>0</v>
      </c>
      <c r="R7" s="97">
        <v>0</v>
      </c>
      <c r="S7" s="96" t="s">
        <v>204</v>
      </c>
      <c r="T7" s="97">
        <v>0</v>
      </c>
      <c r="U7" s="97">
        <v>0</v>
      </c>
      <c r="V7" s="97">
        <v>0</v>
      </c>
      <c r="W7" s="97">
        <v>0</v>
      </c>
      <c r="X7" s="96" t="s">
        <v>203</v>
      </c>
      <c r="Y7" s="96" t="s">
        <v>130</v>
      </c>
      <c r="Z7" s="96" t="s">
        <v>129</v>
      </c>
      <c r="AA7" s="96">
        <v>11543056</v>
      </c>
      <c r="AB7" s="97">
        <v>0</v>
      </c>
      <c r="AC7" s="97">
        <v>0</v>
      </c>
      <c r="AD7" s="97">
        <v>0</v>
      </c>
      <c r="AE7" s="97">
        <v>0</v>
      </c>
      <c r="AF7" s="96">
        <v>11542975</v>
      </c>
      <c r="AG7" s="97">
        <v>0</v>
      </c>
      <c r="AH7" s="96" t="s">
        <v>85</v>
      </c>
      <c r="AI7" s="96" t="s">
        <v>126</v>
      </c>
      <c r="AJ7" s="96" t="s">
        <v>126</v>
      </c>
      <c r="AK7" s="96" t="s">
        <v>126</v>
      </c>
      <c r="AL7" s="96" t="s">
        <v>126</v>
      </c>
      <c r="AM7" s="96" t="s">
        <v>126</v>
      </c>
      <c r="AN7" s="96" t="s">
        <v>126</v>
      </c>
      <c r="AO7" s="96" t="s">
        <v>126</v>
      </c>
      <c r="AP7" s="96" t="s">
        <v>126</v>
      </c>
      <c r="AQ7" s="96" t="s">
        <v>126</v>
      </c>
      <c r="AR7" s="96" t="s">
        <v>173</v>
      </c>
      <c r="AS7" s="96">
        <v>0</v>
      </c>
      <c r="AT7" s="96" t="s">
        <v>126</v>
      </c>
      <c r="AU7" s="96" t="s">
        <v>126</v>
      </c>
      <c r="AV7" s="96">
        <v>0</v>
      </c>
      <c r="AW7" s="96" t="s">
        <v>126</v>
      </c>
      <c r="AX7" s="96" t="s">
        <v>126</v>
      </c>
    </row>
    <row r="8" spans="1:50">
      <c r="A8" s="96" t="s">
        <v>85</v>
      </c>
      <c r="B8" s="96" t="s">
        <v>85</v>
      </c>
      <c r="C8" s="96">
        <v>89183</v>
      </c>
      <c r="D8" s="96" t="s">
        <v>95</v>
      </c>
      <c r="E8" s="96">
        <v>0</v>
      </c>
      <c r="F8" s="96" t="s">
        <v>156</v>
      </c>
      <c r="G8" s="96">
        <v>2020</v>
      </c>
      <c r="H8" s="96" t="s">
        <v>155</v>
      </c>
      <c r="I8" s="96" t="s">
        <v>154</v>
      </c>
      <c r="J8" s="97">
        <v>2500000</v>
      </c>
      <c r="K8" s="97">
        <v>1012500</v>
      </c>
      <c r="L8" s="97">
        <v>1504808.57</v>
      </c>
      <c r="M8" s="97">
        <v>8012.78</v>
      </c>
      <c r="N8" s="96">
        <v>60</v>
      </c>
      <c r="O8" s="96">
        <v>5.324783603538356E-3</v>
      </c>
      <c r="P8" s="97">
        <v>267220.25</v>
      </c>
      <c r="Q8" s="97">
        <v>0</v>
      </c>
      <c r="R8" s="97">
        <v>1758992.5</v>
      </c>
      <c r="S8" s="96" t="s">
        <v>131</v>
      </c>
      <c r="T8" s="97">
        <v>1487500</v>
      </c>
      <c r="U8" s="97">
        <v>0</v>
      </c>
      <c r="V8" s="97">
        <v>0</v>
      </c>
      <c r="W8" s="97">
        <v>8012.78</v>
      </c>
      <c r="X8" s="96" t="s">
        <v>27</v>
      </c>
      <c r="Y8" s="96" t="s">
        <v>130</v>
      </c>
      <c r="Z8" s="96" t="s">
        <v>148</v>
      </c>
      <c r="AA8" s="96">
        <v>8647672</v>
      </c>
      <c r="AB8" s="97">
        <v>1487500</v>
      </c>
      <c r="AC8" s="97">
        <v>17308.57</v>
      </c>
      <c r="AD8" s="97">
        <v>167031.28</v>
      </c>
      <c r="AE8" s="97">
        <v>11360.48</v>
      </c>
      <c r="AF8" s="96">
        <v>8647150</v>
      </c>
      <c r="AG8" s="97">
        <v>1493992.5</v>
      </c>
      <c r="AH8" s="96" t="s">
        <v>128</v>
      </c>
      <c r="AI8" s="96">
        <v>1.21</v>
      </c>
      <c r="AJ8" s="96">
        <v>16.45</v>
      </c>
      <c r="AK8" s="96">
        <v>17.59</v>
      </c>
      <c r="AL8" s="96">
        <v>7.37</v>
      </c>
      <c r="AM8" s="96" t="s">
        <v>85</v>
      </c>
      <c r="AN8" s="96" t="s">
        <v>85</v>
      </c>
      <c r="AO8" s="96" t="s">
        <v>85</v>
      </c>
      <c r="AP8" s="96">
        <v>1.19</v>
      </c>
      <c r="AQ8" s="96">
        <v>1.2041658488840254</v>
      </c>
      <c r="AR8" s="96" t="s">
        <v>153</v>
      </c>
      <c r="AS8" s="96" t="s">
        <v>146</v>
      </c>
      <c r="AT8" s="96">
        <v>-4.4800000000000004</v>
      </c>
      <c r="AU8" s="96">
        <v>20.93</v>
      </c>
      <c r="AV8" s="96">
        <v>0</v>
      </c>
      <c r="AW8" s="96">
        <v>0</v>
      </c>
      <c r="AX8" s="96">
        <v>16.45</v>
      </c>
    </row>
    <row r="9" spans="1:50">
      <c r="A9" s="96" t="s">
        <v>85</v>
      </c>
      <c r="B9" s="96" t="s">
        <v>85</v>
      </c>
      <c r="C9" s="96">
        <v>89183</v>
      </c>
      <c r="D9" s="96" t="s">
        <v>140</v>
      </c>
      <c r="E9" s="96">
        <v>0</v>
      </c>
      <c r="F9" s="96" t="s">
        <v>139</v>
      </c>
      <c r="G9" s="96">
        <v>2021</v>
      </c>
      <c r="H9" s="96" t="s">
        <v>138</v>
      </c>
      <c r="I9" s="96" t="s">
        <v>137</v>
      </c>
      <c r="J9" s="97">
        <v>5000000</v>
      </c>
      <c r="K9" s="97">
        <v>3087911.03</v>
      </c>
      <c r="L9" s="97">
        <v>1932072.17</v>
      </c>
      <c r="M9" s="97">
        <v>0</v>
      </c>
      <c r="N9" s="96">
        <v>38</v>
      </c>
      <c r="O9" s="96">
        <v>0</v>
      </c>
      <c r="P9" s="97">
        <v>0</v>
      </c>
      <c r="Q9" s="97">
        <v>0</v>
      </c>
      <c r="R9" s="97">
        <v>1747970</v>
      </c>
      <c r="S9" s="96" t="s">
        <v>131</v>
      </c>
      <c r="T9" s="97">
        <v>1912088.97</v>
      </c>
      <c r="U9" s="97">
        <v>0</v>
      </c>
      <c r="V9" s="97">
        <v>0</v>
      </c>
      <c r="W9" s="97">
        <v>0</v>
      </c>
      <c r="X9" s="96" t="s">
        <v>27</v>
      </c>
      <c r="Y9" s="96" t="s">
        <v>130</v>
      </c>
      <c r="Z9" s="96" t="s">
        <v>129</v>
      </c>
      <c r="AA9" s="96">
        <v>9689912</v>
      </c>
      <c r="AB9" s="97">
        <v>1912088.97</v>
      </c>
      <c r="AC9" s="97">
        <v>19983.2</v>
      </c>
      <c r="AD9" s="97">
        <v>193111.49</v>
      </c>
      <c r="AE9" s="97">
        <v>6947.91</v>
      </c>
      <c r="AF9" s="96">
        <v>9687289</v>
      </c>
      <c r="AG9" s="97">
        <v>1747970</v>
      </c>
      <c r="AH9" s="96" t="s">
        <v>128</v>
      </c>
      <c r="AI9" s="96">
        <v>0.9</v>
      </c>
      <c r="AJ9" s="96">
        <v>-14.96</v>
      </c>
      <c r="AK9" s="96">
        <v>-13.81</v>
      </c>
      <c r="AL9" s="96" t="s">
        <v>85</v>
      </c>
      <c r="AM9" s="96" t="s">
        <v>85</v>
      </c>
      <c r="AN9" s="96" t="s">
        <v>85</v>
      </c>
      <c r="AO9" s="96" t="s">
        <v>85</v>
      </c>
      <c r="AP9" s="96">
        <v>0.9</v>
      </c>
      <c r="AQ9" s="96">
        <v>0.90562238014490359</v>
      </c>
      <c r="AR9" s="96" t="s">
        <v>136</v>
      </c>
      <c r="AS9" s="96" t="s">
        <v>135</v>
      </c>
      <c r="AT9" s="96">
        <v>-23.54</v>
      </c>
      <c r="AU9" s="96">
        <v>8.58</v>
      </c>
      <c r="AV9" s="96">
        <v>0</v>
      </c>
      <c r="AW9" s="96">
        <v>0</v>
      </c>
      <c r="AX9" s="96">
        <v>-14.96</v>
      </c>
    </row>
    <row r="10" spans="1:50">
      <c r="A10" s="96" t="s">
        <v>85</v>
      </c>
      <c r="B10" s="96" t="s">
        <v>85</v>
      </c>
      <c r="C10" s="96">
        <v>89183</v>
      </c>
      <c r="D10" s="96" t="s">
        <v>104</v>
      </c>
      <c r="E10" s="96">
        <v>0</v>
      </c>
      <c r="F10" s="96" t="s">
        <v>202</v>
      </c>
      <c r="G10" s="96">
        <v>2019</v>
      </c>
      <c r="H10" s="96" t="s">
        <v>201</v>
      </c>
      <c r="I10" s="96" t="s">
        <v>200</v>
      </c>
      <c r="J10" s="97">
        <v>2500000</v>
      </c>
      <c r="K10" s="97">
        <v>532478.5</v>
      </c>
      <c r="L10" s="97">
        <v>2238242</v>
      </c>
      <c r="M10" s="97">
        <v>401449.33</v>
      </c>
      <c r="N10" s="96">
        <v>89</v>
      </c>
      <c r="O10" s="96">
        <v>0.1793592158488671</v>
      </c>
      <c r="P10" s="97">
        <v>20270.91</v>
      </c>
      <c r="Q10" s="97">
        <v>58045</v>
      </c>
      <c r="R10" s="97">
        <v>2192487.61</v>
      </c>
      <c r="S10" s="96" t="s">
        <v>40</v>
      </c>
      <c r="T10" s="97">
        <v>1967521.5</v>
      </c>
      <c r="U10" s="97">
        <v>248076.39</v>
      </c>
      <c r="V10" s="97">
        <v>155366.01999999999</v>
      </c>
      <c r="W10" s="97">
        <v>246083.31</v>
      </c>
      <c r="X10" s="96" t="s">
        <v>178</v>
      </c>
      <c r="Y10" s="96" t="s">
        <v>130</v>
      </c>
      <c r="Z10" s="96" t="s">
        <v>129</v>
      </c>
      <c r="AA10" s="96">
        <v>7878181</v>
      </c>
      <c r="AB10" s="97">
        <v>2122887.52</v>
      </c>
      <c r="AC10" s="97">
        <v>115354.48</v>
      </c>
      <c r="AD10" s="97">
        <v>110665.28</v>
      </c>
      <c r="AE10" s="97">
        <v>7125.63</v>
      </c>
      <c r="AF10" s="96">
        <v>7519255</v>
      </c>
      <c r="AG10" s="97">
        <v>2249895</v>
      </c>
      <c r="AH10" s="96" t="s">
        <v>128</v>
      </c>
      <c r="AI10" s="96">
        <v>1.17</v>
      </c>
      <c r="AJ10" s="96">
        <v>10.09</v>
      </c>
      <c r="AK10" s="96">
        <v>10.65</v>
      </c>
      <c r="AL10" s="96">
        <v>3.54</v>
      </c>
      <c r="AM10" s="96">
        <v>10.18</v>
      </c>
      <c r="AN10" s="96" t="s">
        <v>85</v>
      </c>
      <c r="AO10" s="96" t="s">
        <v>85</v>
      </c>
      <c r="AP10" s="96">
        <v>1.17</v>
      </c>
      <c r="AQ10" s="96">
        <v>1.1776557290232692</v>
      </c>
      <c r="AR10" s="96" t="s">
        <v>199</v>
      </c>
      <c r="AS10" s="96" t="s">
        <v>183</v>
      </c>
      <c r="AT10" s="96">
        <v>-4.2300000000000004</v>
      </c>
      <c r="AU10" s="96">
        <v>14.31</v>
      </c>
      <c r="AV10" s="96">
        <v>0</v>
      </c>
      <c r="AW10" s="96">
        <v>0</v>
      </c>
      <c r="AX10" s="96">
        <v>10.09</v>
      </c>
    </row>
    <row r="11" spans="1:50">
      <c r="A11" s="96" t="s">
        <v>85</v>
      </c>
      <c r="B11" s="96" t="s">
        <v>85</v>
      </c>
      <c r="C11" s="96">
        <v>89183</v>
      </c>
      <c r="D11" s="96" t="s">
        <v>182</v>
      </c>
      <c r="E11" s="96">
        <v>0</v>
      </c>
      <c r="F11" s="96" t="s">
        <v>181</v>
      </c>
      <c r="G11" s="96">
        <v>2021</v>
      </c>
      <c r="H11" s="96" t="s">
        <v>180</v>
      </c>
      <c r="I11" s="96" t="s">
        <v>179</v>
      </c>
      <c r="J11" s="97">
        <v>2500000</v>
      </c>
      <c r="K11" s="97">
        <v>1959070.37</v>
      </c>
      <c r="L11" s="97">
        <v>553244.96</v>
      </c>
      <c r="M11" s="97">
        <v>0</v>
      </c>
      <c r="N11" s="96">
        <v>22</v>
      </c>
      <c r="O11" s="96">
        <v>0</v>
      </c>
      <c r="P11" s="97">
        <v>553244.96</v>
      </c>
      <c r="Q11" s="97">
        <v>0</v>
      </c>
      <c r="R11" s="97">
        <v>540929.63</v>
      </c>
      <c r="S11" s="96" t="s">
        <v>40</v>
      </c>
      <c r="T11" s="97">
        <v>540929.63</v>
      </c>
      <c r="U11" s="97">
        <v>0</v>
      </c>
      <c r="V11" s="97">
        <v>0</v>
      </c>
      <c r="W11" s="97">
        <v>0</v>
      </c>
      <c r="X11" s="96" t="s">
        <v>178</v>
      </c>
      <c r="Y11" s="96" t="s">
        <v>130</v>
      </c>
      <c r="Z11" s="96" t="s">
        <v>129</v>
      </c>
      <c r="AA11" s="96">
        <v>11242573</v>
      </c>
      <c r="AB11" s="97">
        <v>540929.63</v>
      </c>
      <c r="AC11" s="97">
        <v>12315.33</v>
      </c>
      <c r="AD11" s="97">
        <v>12315.33</v>
      </c>
      <c r="AE11" s="97">
        <v>4922.7</v>
      </c>
      <c r="AF11" s="96">
        <v>11178484</v>
      </c>
      <c r="AG11" s="97">
        <v>0</v>
      </c>
      <c r="AH11" s="96" t="s">
        <v>85</v>
      </c>
      <c r="AI11" s="96" t="s">
        <v>126</v>
      </c>
      <c r="AJ11" s="96" t="s">
        <v>126</v>
      </c>
      <c r="AK11" s="96" t="s">
        <v>126</v>
      </c>
      <c r="AL11" s="96" t="s">
        <v>126</v>
      </c>
      <c r="AM11" s="96" t="s">
        <v>126</v>
      </c>
      <c r="AN11" s="96" t="s">
        <v>126</v>
      </c>
      <c r="AO11" s="96" t="s">
        <v>126</v>
      </c>
      <c r="AP11" s="96" t="s">
        <v>126</v>
      </c>
      <c r="AQ11" s="96" t="s">
        <v>126</v>
      </c>
      <c r="AR11" s="96" t="s">
        <v>177</v>
      </c>
      <c r="AS11" s="96">
        <v>0</v>
      </c>
      <c r="AT11" s="96" t="s">
        <v>126</v>
      </c>
      <c r="AU11" s="96" t="s">
        <v>126</v>
      </c>
      <c r="AV11" s="96">
        <v>0</v>
      </c>
      <c r="AW11" s="96" t="s">
        <v>126</v>
      </c>
      <c r="AX11" s="96" t="s">
        <v>126</v>
      </c>
    </row>
    <row r="12" spans="1:50">
      <c r="A12" s="96" t="s">
        <v>85</v>
      </c>
      <c r="B12" s="96" t="s">
        <v>85</v>
      </c>
      <c r="C12" s="96">
        <v>89183</v>
      </c>
      <c r="D12" s="96" t="s">
        <v>152</v>
      </c>
      <c r="E12" s="96">
        <v>0</v>
      </c>
      <c r="F12" s="96" t="s">
        <v>151</v>
      </c>
      <c r="G12" s="96">
        <v>2020</v>
      </c>
      <c r="H12" s="96" t="s">
        <v>150</v>
      </c>
      <c r="I12" s="96" t="s">
        <v>149</v>
      </c>
      <c r="J12" s="97">
        <v>2000000</v>
      </c>
      <c r="K12" s="97">
        <v>818527.47</v>
      </c>
      <c r="L12" s="97">
        <v>1195385.56</v>
      </c>
      <c r="M12" s="97">
        <v>34939.599999999999</v>
      </c>
      <c r="N12" s="96">
        <v>59</v>
      </c>
      <c r="O12" s="96">
        <v>2.9228728511661126E-2</v>
      </c>
      <c r="P12" s="97">
        <v>216217.51</v>
      </c>
      <c r="Q12" s="97">
        <v>22877.48</v>
      </c>
      <c r="R12" s="97">
        <v>1478784.03</v>
      </c>
      <c r="S12" s="96" t="s">
        <v>131</v>
      </c>
      <c r="T12" s="97">
        <v>1181472.53</v>
      </c>
      <c r="U12" s="97">
        <v>34964.639999999999</v>
      </c>
      <c r="V12" s="97">
        <v>0</v>
      </c>
      <c r="W12" s="97">
        <v>34939.599999999999</v>
      </c>
      <c r="X12" s="96" t="s">
        <v>49</v>
      </c>
      <c r="Y12" s="96" t="s">
        <v>130</v>
      </c>
      <c r="Z12" s="96" t="s">
        <v>148</v>
      </c>
      <c r="AA12" s="96">
        <v>9236065</v>
      </c>
      <c r="AB12" s="97">
        <v>1181472.53</v>
      </c>
      <c r="AC12" s="97">
        <v>13913.03</v>
      </c>
      <c r="AD12" s="97">
        <v>91112.36</v>
      </c>
      <c r="AE12" s="97">
        <v>9507.9</v>
      </c>
      <c r="AF12" s="96">
        <v>9232587</v>
      </c>
      <c r="AG12" s="97">
        <v>1285444</v>
      </c>
      <c r="AH12" s="96" t="s">
        <v>128</v>
      </c>
      <c r="AI12" s="96">
        <v>1.33</v>
      </c>
      <c r="AJ12" s="96">
        <v>32.99</v>
      </c>
      <c r="AK12" s="96">
        <v>35.04</v>
      </c>
      <c r="AL12" s="96">
        <v>-11.36</v>
      </c>
      <c r="AM12" s="96" t="s">
        <v>85</v>
      </c>
      <c r="AN12" s="96" t="s">
        <v>85</v>
      </c>
      <c r="AO12" s="96" t="s">
        <v>85</v>
      </c>
      <c r="AP12" s="96">
        <v>1.29</v>
      </c>
      <c r="AQ12" s="96">
        <v>1.3008674971736658</v>
      </c>
      <c r="AR12" s="96" t="s">
        <v>147</v>
      </c>
      <c r="AS12" s="96" t="s">
        <v>146</v>
      </c>
      <c r="AT12" s="96">
        <v>-15.05</v>
      </c>
      <c r="AU12" s="96">
        <v>48.03</v>
      </c>
      <c r="AV12" s="96">
        <v>0</v>
      </c>
      <c r="AW12" s="96">
        <v>0</v>
      </c>
      <c r="AX12" s="96">
        <v>32.99</v>
      </c>
    </row>
    <row r="13" spans="1:50">
      <c r="A13" s="96" t="s">
        <v>85</v>
      </c>
      <c r="B13" s="96" t="s">
        <v>85</v>
      </c>
      <c r="C13" s="96">
        <v>89183</v>
      </c>
      <c r="D13" s="96" t="s">
        <v>243</v>
      </c>
      <c r="E13" s="96">
        <v>0</v>
      </c>
      <c r="F13" s="96" t="s">
        <v>242</v>
      </c>
      <c r="G13" s="96">
        <v>2019</v>
      </c>
      <c r="H13" s="96" t="s">
        <v>241</v>
      </c>
      <c r="I13" s="96" t="s">
        <v>240</v>
      </c>
      <c r="J13" s="97">
        <v>4500000</v>
      </c>
      <c r="K13" s="97">
        <v>2283872</v>
      </c>
      <c r="L13" s="97">
        <v>2746667</v>
      </c>
      <c r="M13" s="97">
        <v>542534</v>
      </c>
      <c r="N13" s="96">
        <v>61</v>
      </c>
      <c r="O13" s="96">
        <v>0.19752449059168803</v>
      </c>
      <c r="P13" s="97">
        <v>363434</v>
      </c>
      <c r="Q13" s="97">
        <v>0</v>
      </c>
      <c r="R13" s="97">
        <v>2556176</v>
      </c>
      <c r="S13" s="96" t="s">
        <v>204</v>
      </c>
      <c r="T13" s="97">
        <v>2216128</v>
      </c>
      <c r="U13" s="97">
        <v>10222</v>
      </c>
      <c r="V13" s="97">
        <v>530539</v>
      </c>
      <c r="W13" s="97">
        <v>11995</v>
      </c>
      <c r="X13" s="96" t="s">
        <v>212</v>
      </c>
      <c r="Y13" s="96" t="s">
        <v>130</v>
      </c>
      <c r="Z13" s="96" t="s">
        <v>148</v>
      </c>
      <c r="AA13" s="96">
        <v>7342778</v>
      </c>
      <c r="AB13" s="97">
        <v>2746667</v>
      </c>
      <c r="AC13" s="97">
        <v>0</v>
      </c>
      <c r="AD13" s="97">
        <v>300595</v>
      </c>
      <c r="AE13" s="97">
        <v>0</v>
      </c>
      <c r="AF13" s="96">
        <v>7342774</v>
      </c>
      <c r="AG13" s="97">
        <v>2192742</v>
      </c>
      <c r="AH13" s="96" t="s">
        <v>128</v>
      </c>
      <c r="AI13" s="96">
        <v>1.1499999999999999</v>
      </c>
      <c r="AJ13" s="96">
        <v>12.02</v>
      </c>
      <c r="AK13" s="96">
        <v>12.02</v>
      </c>
      <c r="AL13" s="96">
        <v>29.94</v>
      </c>
      <c r="AM13" s="96" t="s">
        <v>85</v>
      </c>
      <c r="AN13" s="96" t="s">
        <v>85</v>
      </c>
      <c r="AO13" s="96" t="s">
        <v>85</v>
      </c>
      <c r="AP13" s="96">
        <v>1.1399999999999999</v>
      </c>
      <c r="AQ13" s="96">
        <v>1.1433007991248207</v>
      </c>
      <c r="AR13" s="96" t="s">
        <v>239</v>
      </c>
      <c r="AS13" s="96" t="s">
        <v>146</v>
      </c>
      <c r="AT13" s="96">
        <v>-2</v>
      </c>
      <c r="AU13" s="96">
        <v>14.03</v>
      </c>
      <c r="AV13" s="96">
        <v>0</v>
      </c>
      <c r="AW13" s="96">
        <v>0</v>
      </c>
      <c r="AX13" s="96">
        <v>12.02</v>
      </c>
    </row>
    <row r="14" spans="1:50">
      <c r="A14" s="96" t="s">
        <v>85</v>
      </c>
      <c r="B14" s="96" t="s">
        <v>85</v>
      </c>
      <c r="C14" s="96">
        <v>89183</v>
      </c>
      <c r="D14" s="96" t="s">
        <v>229</v>
      </c>
      <c r="E14" s="96">
        <v>0</v>
      </c>
      <c r="F14" s="96" t="s">
        <v>228</v>
      </c>
      <c r="G14" s="96">
        <v>2020</v>
      </c>
      <c r="H14" s="96" t="s">
        <v>227</v>
      </c>
      <c r="I14" s="96" t="s">
        <v>226</v>
      </c>
      <c r="J14" s="97">
        <v>4000000</v>
      </c>
      <c r="K14" s="97">
        <v>2629615.73</v>
      </c>
      <c r="L14" s="97">
        <v>1515401.57</v>
      </c>
      <c r="M14" s="97">
        <v>11080.05</v>
      </c>
      <c r="N14" s="96">
        <v>37</v>
      </c>
      <c r="O14" s="96">
        <v>7.3116263169768258E-3</v>
      </c>
      <c r="P14" s="97">
        <v>191276.6</v>
      </c>
      <c r="Q14" s="97">
        <v>0</v>
      </c>
      <c r="R14" s="97">
        <v>1527427.32</v>
      </c>
      <c r="S14" s="96" t="s">
        <v>204</v>
      </c>
      <c r="T14" s="97">
        <v>1370384.27</v>
      </c>
      <c r="U14" s="97">
        <v>0</v>
      </c>
      <c r="V14" s="97">
        <v>11080.05</v>
      </c>
      <c r="W14" s="97">
        <v>0</v>
      </c>
      <c r="X14" s="96" t="s">
        <v>203</v>
      </c>
      <c r="Y14" s="96" t="s">
        <v>225</v>
      </c>
      <c r="Z14" s="96" t="s">
        <v>224</v>
      </c>
      <c r="AA14" s="96">
        <v>8775937</v>
      </c>
      <c r="AB14" s="97">
        <v>1381464.32</v>
      </c>
      <c r="AC14" s="97">
        <v>133937.25</v>
      </c>
      <c r="AD14" s="97">
        <v>152551.01</v>
      </c>
      <c r="AE14" s="97">
        <v>27082.45</v>
      </c>
      <c r="AF14" s="96">
        <v>8774174</v>
      </c>
      <c r="AG14" s="97">
        <v>1337752</v>
      </c>
      <c r="AH14" s="96" t="s">
        <v>128</v>
      </c>
      <c r="AI14" s="96">
        <v>1.02</v>
      </c>
      <c r="AJ14" s="96">
        <v>2.44</v>
      </c>
      <c r="AK14" s="96">
        <v>6.79</v>
      </c>
      <c r="AL14" s="96">
        <v>4.03</v>
      </c>
      <c r="AM14" s="96" t="s">
        <v>85</v>
      </c>
      <c r="AN14" s="96" t="s">
        <v>85</v>
      </c>
      <c r="AO14" s="96" t="s">
        <v>85</v>
      </c>
      <c r="AP14" s="96">
        <v>1.02</v>
      </c>
      <c r="AQ14" s="96">
        <v>1.0485754432239438</v>
      </c>
      <c r="AR14" s="96" t="s">
        <v>223</v>
      </c>
      <c r="AS14" s="96" t="s">
        <v>222</v>
      </c>
      <c r="AT14" s="96">
        <v>-21.84</v>
      </c>
      <c r="AU14" s="96">
        <v>24.28</v>
      </c>
      <c r="AV14" s="96">
        <v>0</v>
      </c>
      <c r="AW14" s="96">
        <v>0</v>
      </c>
      <c r="AX14" s="96">
        <v>2.44</v>
      </c>
    </row>
    <row r="15" spans="1:50">
      <c r="A15" s="96" t="s">
        <v>85</v>
      </c>
      <c r="B15" s="96" t="s">
        <v>85</v>
      </c>
      <c r="C15" s="96">
        <v>89183</v>
      </c>
      <c r="D15" s="96" t="s">
        <v>134</v>
      </c>
      <c r="E15" s="96">
        <v>0</v>
      </c>
      <c r="F15" s="96" t="s">
        <v>133</v>
      </c>
      <c r="G15" s="96">
        <v>2022</v>
      </c>
      <c r="H15" s="96" t="s">
        <v>132</v>
      </c>
      <c r="I15" s="96" t="s">
        <v>132</v>
      </c>
      <c r="J15" s="97">
        <v>2500000</v>
      </c>
      <c r="K15" s="97">
        <v>1862500</v>
      </c>
      <c r="L15" s="97">
        <v>655788.37</v>
      </c>
      <c r="M15" s="97">
        <v>12.41</v>
      </c>
      <c r="N15" s="96">
        <v>26</v>
      </c>
      <c r="O15" s="96">
        <v>1.8923787867723243E-5</v>
      </c>
      <c r="P15" s="97">
        <v>71112.55</v>
      </c>
      <c r="Q15" s="97">
        <v>0</v>
      </c>
      <c r="R15" s="97">
        <v>529877.48</v>
      </c>
      <c r="S15" s="96" t="s">
        <v>131</v>
      </c>
      <c r="T15" s="97">
        <v>637500</v>
      </c>
      <c r="U15" s="97">
        <v>0</v>
      </c>
      <c r="V15" s="97">
        <v>0</v>
      </c>
      <c r="W15" s="97">
        <v>12.41</v>
      </c>
      <c r="X15" s="96" t="s">
        <v>49</v>
      </c>
      <c r="Y15" s="96" t="s">
        <v>130</v>
      </c>
      <c r="Z15" s="96" t="s">
        <v>129</v>
      </c>
      <c r="AA15" s="96">
        <v>10940936</v>
      </c>
      <c r="AB15" s="97">
        <v>637500</v>
      </c>
      <c r="AC15" s="97">
        <v>18288.37</v>
      </c>
      <c r="AD15" s="97">
        <v>18275.96</v>
      </c>
      <c r="AE15" s="97">
        <v>3872.96</v>
      </c>
      <c r="AF15" s="96">
        <v>10937227</v>
      </c>
      <c r="AG15" s="97">
        <v>459565</v>
      </c>
      <c r="AH15" s="96" t="s">
        <v>128</v>
      </c>
      <c r="AI15" s="96" t="s">
        <v>126</v>
      </c>
      <c r="AJ15" s="96" t="s">
        <v>126</v>
      </c>
      <c r="AK15" s="96" t="s">
        <v>126</v>
      </c>
      <c r="AL15" s="96" t="s">
        <v>126</v>
      </c>
      <c r="AM15" s="96" t="s">
        <v>126</v>
      </c>
      <c r="AN15" s="96" t="s">
        <v>126</v>
      </c>
      <c r="AO15" s="96" t="s">
        <v>126</v>
      </c>
      <c r="AP15" s="96" t="s">
        <v>126</v>
      </c>
      <c r="AQ15" s="96" t="s">
        <v>126</v>
      </c>
      <c r="AR15" s="96" t="s">
        <v>127</v>
      </c>
      <c r="AS15" s="96">
        <v>0</v>
      </c>
      <c r="AT15" s="96" t="s">
        <v>126</v>
      </c>
      <c r="AU15" s="96" t="s">
        <v>126</v>
      </c>
      <c r="AV15" s="96">
        <v>0</v>
      </c>
      <c r="AW15" s="96" t="s">
        <v>126</v>
      </c>
      <c r="AX15" s="96" t="s">
        <v>126</v>
      </c>
    </row>
    <row r="16" spans="1:50">
      <c r="A16" s="96" t="s">
        <v>85</v>
      </c>
      <c r="B16" s="96" t="s">
        <v>85</v>
      </c>
      <c r="C16" s="96">
        <v>89183</v>
      </c>
      <c r="D16" s="96" t="s">
        <v>162</v>
      </c>
      <c r="E16" s="96">
        <v>0</v>
      </c>
      <c r="F16" s="96" t="s">
        <v>161</v>
      </c>
      <c r="G16" s="96">
        <v>2021</v>
      </c>
      <c r="H16" s="96" t="s">
        <v>160</v>
      </c>
      <c r="I16" s="96" t="s">
        <v>159</v>
      </c>
      <c r="J16" s="97">
        <v>3000000</v>
      </c>
      <c r="K16" s="97">
        <v>2113353.59</v>
      </c>
      <c r="L16" s="97">
        <v>941918.45</v>
      </c>
      <c r="M16" s="97">
        <v>5609.4</v>
      </c>
      <c r="N16" s="96">
        <v>31</v>
      </c>
      <c r="O16" s="96">
        <v>5.9552926264476507E-3</v>
      </c>
      <c r="P16" s="97">
        <v>100110.21</v>
      </c>
      <c r="Q16" s="97">
        <v>342.21</v>
      </c>
      <c r="R16" s="97">
        <v>844859.1</v>
      </c>
      <c r="S16" s="96" t="s">
        <v>158</v>
      </c>
      <c r="T16" s="97">
        <v>886646.41</v>
      </c>
      <c r="U16" s="97">
        <v>0</v>
      </c>
      <c r="V16" s="97">
        <v>5267.19</v>
      </c>
      <c r="W16" s="97">
        <v>342.21</v>
      </c>
      <c r="X16" s="96" t="s">
        <v>50</v>
      </c>
      <c r="Y16" s="96" t="s">
        <v>130</v>
      </c>
      <c r="Z16" s="96" t="s">
        <v>148</v>
      </c>
      <c r="AA16" s="96">
        <v>9592788</v>
      </c>
      <c r="AB16" s="97">
        <v>891913.6</v>
      </c>
      <c r="AC16" s="97">
        <v>50004.85</v>
      </c>
      <c r="AD16" s="97">
        <v>49662.64</v>
      </c>
      <c r="AE16" s="97">
        <v>20881.66</v>
      </c>
      <c r="AF16" s="96">
        <v>9579470</v>
      </c>
      <c r="AG16" s="97">
        <v>758670</v>
      </c>
      <c r="AH16" s="96" t="s">
        <v>128</v>
      </c>
      <c r="AI16" s="96" t="s">
        <v>126</v>
      </c>
      <c r="AJ16" s="96" t="s">
        <v>126</v>
      </c>
      <c r="AK16" s="96" t="s">
        <v>126</v>
      </c>
      <c r="AL16" s="96" t="s">
        <v>126</v>
      </c>
      <c r="AM16" s="96" t="s">
        <v>126</v>
      </c>
      <c r="AN16" s="96" t="s">
        <v>126</v>
      </c>
      <c r="AO16" s="96" t="s">
        <v>126</v>
      </c>
      <c r="AP16" s="96" t="s">
        <v>126</v>
      </c>
      <c r="AQ16" s="96" t="s">
        <v>126</v>
      </c>
      <c r="AR16" s="96" t="s">
        <v>157</v>
      </c>
      <c r="AS16" s="96">
        <v>0</v>
      </c>
      <c r="AT16" s="96" t="s">
        <v>126</v>
      </c>
      <c r="AU16" s="96" t="s">
        <v>126</v>
      </c>
      <c r="AV16" s="96">
        <v>0</v>
      </c>
      <c r="AW16" s="96" t="s">
        <v>126</v>
      </c>
      <c r="AX16" s="96" t="s">
        <v>126</v>
      </c>
    </row>
    <row r="17" spans="1:50">
      <c r="A17" s="96" t="s">
        <v>85</v>
      </c>
      <c r="B17" s="96" t="s">
        <v>85</v>
      </c>
      <c r="C17" s="96">
        <v>89183</v>
      </c>
      <c r="D17" s="96" t="s">
        <v>216</v>
      </c>
      <c r="E17" s="96">
        <v>0</v>
      </c>
      <c r="F17" s="96" t="s">
        <v>215</v>
      </c>
      <c r="G17" s="96">
        <v>2021</v>
      </c>
      <c r="H17" s="96" t="s">
        <v>214</v>
      </c>
      <c r="I17" s="96" t="s">
        <v>213</v>
      </c>
      <c r="J17" s="97">
        <v>2500000</v>
      </c>
      <c r="K17" s="97">
        <v>1505945.87</v>
      </c>
      <c r="L17" s="97">
        <v>1083500.06</v>
      </c>
      <c r="M17" s="97">
        <v>80067.27</v>
      </c>
      <c r="N17" s="96">
        <v>43</v>
      </c>
      <c r="O17" s="96">
        <v>7.3896876387805649E-2</v>
      </c>
      <c r="P17" s="97">
        <v>205032.38</v>
      </c>
      <c r="Q17" s="97">
        <v>3099.46</v>
      </c>
      <c r="R17" s="97">
        <v>986769.84</v>
      </c>
      <c r="S17" s="96" t="s">
        <v>204</v>
      </c>
      <c r="T17" s="97">
        <v>994054.13</v>
      </c>
      <c r="U17" s="97">
        <v>0</v>
      </c>
      <c r="V17" s="97">
        <v>80067.27</v>
      </c>
      <c r="W17" s="97">
        <v>0</v>
      </c>
      <c r="X17" s="96" t="s">
        <v>212</v>
      </c>
      <c r="Y17" s="96" t="s">
        <v>130</v>
      </c>
      <c r="Z17" s="96" t="s">
        <v>148</v>
      </c>
      <c r="AA17" s="96">
        <v>9495477</v>
      </c>
      <c r="AB17" s="97">
        <v>1074121.3999999999</v>
      </c>
      <c r="AC17" s="97">
        <v>9378.66</v>
      </c>
      <c r="AD17" s="97">
        <v>126219.13</v>
      </c>
      <c r="AE17" s="97">
        <v>4103.16</v>
      </c>
      <c r="AF17" s="96">
        <v>9491994</v>
      </c>
      <c r="AG17" s="97">
        <v>785130</v>
      </c>
      <c r="AH17" s="96" t="s">
        <v>128</v>
      </c>
      <c r="AI17" s="96">
        <v>0.98</v>
      </c>
      <c r="AJ17" s="96">
        <v>-4.2300000000000004</v>
      </c>
      <c r="AK17" s="96">
        <v>-1.92</v>
      </c>
      <c r="AL17" s="96" t="s">
        <v>85</v>
      </c>
      <c r="AM17" s="96" t="s">
        <v>85</v>
      </c>
      <c r="AN17" s="96" t="s">
        <v>85</v>
      </c>
      <c r="AO17" s="96" t="s">
        <v>85</v>
      </c>
      <c r="AP17" s="96">
        <v>0.98</v>
      </c>
      <c r="AQ17" s="96">
        <v>0.99239064545033817</v>
      </c>
      <c r="AR17" s="96" t="s">
        <v>211</v>
      </c>
      <c r="AS17" s="96" t="s">
        <v>146</v>
      </c>
      <c r="AT17" s="96">
        <v>-30.21</v>
      </c>
      <c r="AU17" s="96">
        <v>25.98</v>
      </c>
      <c r="AV17" s="96">
        <v>0</v>
      </c>
      <c r="AW17" s="96">
        <v>0</v>
      </c>
      <c r="AX17" s="96">
        <v>-4.2300000000000004</v>
      </c>
    </row>
    <row r="18" spans="1:50">
      <c r="A18" s="96" t="s">
        <v>85</v>
      </c>
      <c r="B18" s="96" t="s">
        <v>85</v>
      </c>
      <c r="C18" s="96">
        <v>89183</v>
      </c>
      <c r="D18" s="96" t="s">
        <v>145</v>
      </c>
      <c r="E18" s="96">
        <v>0</v>
      </c>
      <c r="F18" s="96" t="s">
        <v>144</v>
      </c>
      <c r="G18" s="96">
        <v>2021</v>
      </c>
      <c r="H18" s="96" t="s">
        <v>143</v>
      </c>
      <c r="I18" s="96" t="s">
        <v>142</v>
      </c>
      <c r="J18" s="97">
        <v>2500000</v>
      </c>
      <c r="K18" s="97">
        <v>928594.24</v>
      </c>
      <c r="L18" s="97">
        <v>1649380.05</v>
      </c>
      <c r="M18" s="97">
        <v>65768.69</v>
      </c>
      <c r="N18" s="96">
        <v>65</v>
      </c>
      <c r="O18" s="96">
        <v>3.9874794168875752E-2</v>
      </c>
      <c r="P18" s="97">
        <v>248354.08</v>
      </c>
      <c r="Q18" s="97">
        <v>65768.69</v>
      </c>
      <c r="R18" s="97">
        <v>1532332.04</v>
      </c>
      <c r="S18" s="96" t="s">
        <v>131</v>
      </c>
      <c r="T18" s="97">
        <v>1571405.76</v>
      </c>
      <c r="U18" s="97">
        <v>0</v>
      </c>
      <c r="V18" s="97">
        <v>65768.69</v>
      </c>
      <c r="W18" s="97">
        <v>0</v>
      </c>
      <c r="X18" s="96" t="s">
        <v>27</v>
      </c>
      <c r="Y18" s="96" t="s">
        <v>130</v>
      </c>
      <c r="Z18" s="96" t="s">
        <v>129</v>
      </c>
      <c r="AA18" s="96">
        <v>9539102</v>
      </c>
      <c r="AB18" s="97">
        <v>1637174.45</v>
      </c>
      <c r="AC18" s="97">
        <v>12205.6</v>
      </c>
      <c r="AD18" s="97">
        <v>37269.86</v>
      </c>
      <c r="AE18" s="97">
        <v>6440.14</v>
      </c>
      <c r="AF18" s="96">
        <v>9529690</v>
      </c>
      <c r="AG18" s="97">
        <v>1350360</v>
      </c>
      <c r="AH18" s="96" t="s">
        <v>128</v>
      </c>
      <c r="AI18" s="96">
        <v>0.96</v>
      </c>
      <c r="AJ18" s="96">
        <v>-5.0199999999999996</v>
      </c>
      <c r="AK18" s="96">
        <v>-3.91</v>
      </c>
      <c r="AL18" s="96">
        <v>-3.28</v>
      </c>
      <c r="AM18" s="96" t="s">
        <v>85</v>
      </c>
      <c r="AN18" s="96" t="s">
        <v>85</v>
      </c>
      <c r="AO18" s="96" t="s">
        <v>85</v>
      </c>
      <c r="AP18" s="96">
        <v>0.97</v>
      </c>
      <c r="AQ18" s="96">
        <v>0.97576237639190155</v>
      </c>
      <c r="AR18" s="96" t="s">
        <v>141</v>
      </c>
      <c r="AS18" s="96" t="s">
        <v>135</v>
      </c>
      <c r="AT18" s="96">
        <v>-18.75</v>
      </c>
      <c r="AU18" s="96">
        <v>13.74</v>
      </c>
      <c r="AV18" s="96">
        <v>0</v>
      </c>
      <c r="AW18" s="96">
        <v>0</v>
      </c>
      <c r="AX18" s="96">
        <v>-5.0199999999999996</v>
      </c>
    </row>
    <row r="19" spans="1:50">
      <c r="A19" s="96" t="s">
        <v>85</v>
      </c>
      <c r="B19" s="96" t="s">
        <v>85</v>
      </c>
      <c r="C19" s="96">
        <v>89183</v>
      </c>
      <c r="D19" s="96" t="s">
        <v>96</v>
      </c>
      <c r="E19" s="96">
        <v>0</v>
      </c>
      <c r="F19" s="96" t="s">
        <v>172</v>
      </c>
      <c r="G19" s="96">
        <v>2019</v>
      </c>
      <c r="H19" s="96" t="s">
        <v>171</v>
      </c>
      <c r="I19" s="96" t="s">
        <v>170</v>
      </c>
      <c r="J19" s="97">
        <v>2000000</v>
      </c>
      <c r="K19" s="97">
        <v>1215276.54</v>
      </c>
      <c r="L19" s="97">
        <v>1064661.32</v>
      </c>
      <c r="M19" s="97">
        <v>364302.57</v>
      </c>
      <c r="N19" s="96">
        <v>53</v>
      </c>
      <c r="O19" s="96">
        <v>0.34217695633011258</v>
      </c>
      <c r="P19" s="97">
        <v>74947.789999999994</v>
      </c>
      <c r="Q19" s="97">
        <v>6623.21</v>
      </c>
      <c r="R19" s="97">
        <v>717180.93</v>
      </c>
      <c r="S19" s="96" t="s">
        <v>158</v>
      </c>
      <c r="T19" s="97">
        <v>784723.46</v>
      </c>
      <c r="U19" s="97">
        <v>234600.57</v>
      </c>
      <c r="V19" s="97">
        <v>175134.84</v>
      </c>
      <c r="W19" s="97">
        <v>189167.73</v>
      </c>
      <c r="X19" s="96" t="s">
        <v>165</v>
      </c>
      <c r="Y19" s="96">
        <v>0</v>
      </c>
      <c r="Z19" s="96">
        <v>0</v>
      </c>
      <c r="AA19" s="96">
        <v>8289631</v>
      </c>
      <c r="AB19" s="97">
        <v>959858.3</v>
      </c>
      <c r="AC19" s="97">
        <v>104803.02</v>
      </c>
      <c r="AD19" s="97">
        <v>110685.5</v>
      </c>
      <c r="AE19" s="97">
        <v>10526.69</v>
      </c>
      <c r="AF19" s="96">
        <v>8289586</v>
      </c>
      <c r="AG19" s="97">
        <v>655814</v>
      </c>
      <c r="AH19" s="96" t="s">
        <v>128</v>
      </c>
      <c r="AI19" s="96">
        <v>1.02</v>
      </c>
      <c r="AJ19" s="96">
        <v>3.6</v>
      </c>
      <c r="AK19" s="96">
        <v>8.9</v>
      </c>
      <c r="AL19" s="96">
        <v>-0.8</v>
      </c>
      <c r="AM19" s="96" t="s">
        <v>85</v>
      </c>
      <c r="AN19" s="96" t="s">
        <v>85</v>
      </c>
      <c r="AO19" s="96" t="s">
        <v>85</v>
      </c>
      <c r="AP19" s="96">
        <v>1.02</v>
      </c>
      <c r="AQ19" s="96">
        <v>1.0524809166909992</v>
      </c>
      <c r="AR19" s="96" t="s">
        <v>169</v>
      </c>
      <c r="AS19" s="96" t="s">
        <v>163</v>
      </c>
      <c r="AT19" s="96">
        <v>0.08</v>
      </c>
      <c r="AU19" s="96">
        <v>3.52</v>
      </c>
      <c r="AV19" s="96">
        <v>0</v>
      </c>
      <c r="AW19" s="96">
        <v>0</v>
      </c>
      <c r="AX19" s="96">
        <v>3.6</v>
      </c>
    </row>
    <row r="20" spans="1:50">
      <c r="A20" s="96" t="s">
        <v>85</v>
      </c>
      <c r="B20" s="96" t="s">
        <v>85</v>
      </c>
      <c r="C20" s="96">
        <v>89183</v>
      </c>
      <c r="D20" s="96" t="s">
        <v>193</v>
      </c>
      <c r="E20" s="96">
        <v>0</v>
      </c>
      <c r="F20" s="96" t="s">
        <v>192</v>
      </c>
      <c r="G20" s="96">
        <v>2019</v>
      </c>
      <c r="H20" s="96" t="s">
        <v>191</v>
      </c>
      <c r="I20" s="96" t="s">
        <v>190</v>
      </c>
      <c r="J20" s="97">
        <v>1500000</v>
      </c>
      <c r="K20" s="97">
        <v>651696.41</v>
      </c>
      <c r="L20" s="97">
        <v>995031.38</v>
      </c>
      <c r="M20" s="97">
        <v>115438.14</v>
      </c>
      <c r="N20" s="96">
        <v>66</v>
      </c>
      <c r="O20" s="96">
        <v>0.11601457232434217</v>
      </c>
      <c r="P20" s="97">
        <v>29785.49</v>
      </c>
      <c r="Q20" s="97">
        <v>8917.7999999999993</v>
      </c>
      <c r="R20" s="97">
        <v>877657.96</v>
      </c>
      <c r="S20" s="96" t="s">
        <v>40</v>
      </c>
      <c r="T20" s="97">
        <v>848303.59</v>
      </c>
      <c r="U20" s="97">
        <v>0</v>
      </c>
      <c r="V20" s="97">
        <v>115430.87</v>
      </c>
      <c r="W20" s="97">
        <v>7.27</v>
      </c>
      <c r="X20" s="96" t="s">
        <v>178</v>
      </c>
      <c r="Y20" s="96" t="s">
        <v>130</v>
      </c>
      <c r="Z20" s="96" t="s">
        <v>148</v>
      </c>
      <c r="AA20" s="96">
        <v>8396943</v>
      </c>
      <c r="AB20" s="97">
        <v>963734.46</v>
      </c>
      <c r="AC20" s="97">
        <v>31296.92</v>
      </c>
      <c r="AD20" s="97">
        <v>92655.43</v>
      </c>
      <c r="AE20" s="97">
        <v>16866.34</v>
      </c>
      <c r="AF20" s="96">
        <v>8396935</v>
      </c>
      <c r="AG20" s="97">
        <v>858864</v>
      </c>
      <c r="AH20" s="96" t="s">
        <v>128</v>
      </c>
      <c r="AI20" s="96">
        <v>1</v>
      </c>
      <c r="AJ20" s="96">
        <v>0.01</v>
      </c>
      <c r="AK20" s="96">
        <v>1.9</v>
      </c>
      <c r="AL20" s="96">
        <v>1.1200000000000001</v>
      </c>
      <c r="AM20" s="96" t="s">
        <v>85</v>
      </c>
      <c r="AN20" s="96" t="s">
        <v>85</v>
      </c>
      <c r="AO20" s="96" t="s">
        <v>85</v>
      </c>
      <c r="AP20" s="96">
        <v>1</v>
      </c>
      <c r="AQ20" s="96">
        <v>1.0325303511198993</v>
      </c>
      <c r="AR20" s="96" t="s">
        <v>189</v>
      </c>
      <c r="AS20" s="96" t="s">
        <v>183</v>
      </c>
      <c r="AT20" s="96">
        <v>-4.8600000000000003</v>
      </c>
      <c r="AU20" s="96">
        <v>4.87</v>
      </c>
      <c r="AV20" s="96">
        <v>0</v>
      </c>
      <c r="AW20" s="96">
        <v>0</v>
      </c>
      <c r="AX20" s="96">
        <v>0.01</v>
      </c>
    </row>
    <row r="21" spans="1:50">
      <c r="A21" s="96" t="s">
        <v>85</v>
      </c>
      <c r="B21" s="96" t="s">
        <v>85</v>
      </c>
      <c r="C21" s="96">
        <v>89183</v>
      </c>
      <c r="D21" s="96" t="s">
        <v>89</v>
      </c>
      <c r="E21" s="96">
        <v>0</v>
      </c>
      <c r="F21" s="96" t="s">
        <v>168</v>
      </c>
      <c r="G21" s="96">
        <v>2020</v>
      </c>
      <c r="H21" s="96" t="s">
        <v>167</v>
      </c>
      <c r="I21" s="96" t="s">
        <v>166</v>
      </c>
      <c r="J21" s="97">
        <v>3500000</v>
      </c>
      <c r="K21" s="97">
        <v>2800000</v>
      </c>
      <c r="L21" s="97">
        <v>713908.09</v>
      </c>
      <c r="M21" s="97">
        <v>0</v>
      </c>
      <c r="N21" s="96">
        <v>20</v>
      </c>
      <c r="O21" s="96">
        <v>0</v>
      </c>
      <c r="P21" s="97">
        <v>0</v>
      </c>
      <c r="Q21" s="97">
        <v>0</v>
      </c>
      <c r="R21" s="97">
        <v>790247.5</v>
      </c>
      <c r="S21" s="96" t="s">
        <v>158</v>
      </c>
      <c r="T21" s="97">
        <v>700000</v>
      </c>
      <c r="U21" s="97">
        <v>0</v>
      </c>
      <c r="V21" s="97">
        <v>0</v>
      </c>
      <c r="W21" s="97">
        <v>0</v>
      </c>
      <c r="X21" s="96" t="s">
        <v>165</v>
      </c>
      <c r="Y21" s="96" t="s">
        <v>130</v>
      </c>
      <c r="Z21" s="96" t="s">
        <v>129</v>
      </c>
      <c r="AA21" s="96">
        <v>8912421</v>
      </c>
      <c r="AB21" s="97">
        <v>700000</v>
      </c>
      <c r="AC21" s="97">
        <v>13908.09</v>
      </c>
      <c r="AD21" s="97">
        <v>13908.09</v>
      </c>
      <c r="AE21" s="97">
        <v>7861.1</v>
      </c>
      <c r="AF21" s="96">
        <v>8910331</v>
      </c>
      <c r="AG21" s="97">
        <v>790247.5</v>
      </c>
      <c r="AH21" s="96" t="s">
        <v>128</v>
      </c>
      <c r="AI21" s="96">
        <v>1.1100000000000001</v>
      </c>
      <c r="AJ21" s="96">
        <v>18.62</v>
      </c>
      <c r="AK21" s="96">
        <v>22.65</v>
      </c>
      <c r="AL21" s="96" t="s">
        <v>85</v>
      </c>
      <c r="AM21" s="96" t="s">
        <v>85</v>
      </c>
      <c r="AN21" s="96" t="s">
        <v>85</v>
      </c>
      <c r="AO21" s="96" t="s">
        <v>85</v>
      </c>
      <c r="AP21" s="96">
        <v>1.1100000000000001</v>
      </c>
      <c r="AQ21" s="96">
        <v>1.128925</v>
      </c>
      <c r="AR21" s="96" t="s">
        <v>164</v>
      </c>
      <c r="AS21" s="96" t="s">
        <v>163</v>
      </c>
      <c r="AT21" s="96">
        <v>-31.94</v>
      </c>
      <c r="AU21" s="96">
        <v>50.56</v>
      </c>
      <c r="AV21" s="96">
        <v>0</v>
      </c>
      <c r="AW21" s="96">
        <v>0</v>
      </c>
      <c r="AX21" s="96">
        <v>18.62</v>
      </c>
    </row>
    <row r="22" spans="1:50">
      <c r="A22" s="96" t="s">
        <v>85</v>
      </c>
      <c r="B22" s="96" t="s">
        <v>85</v>
      </c>
      <c r="C22" s="96">
        <v>89183</v>
      </c>
      <c r="D22" s="96" t="s">
        <v>188</v>
      </c>
      <c r="E22" s="96">
        <v>0</v>
      </c>
      <c r="F22" s="96" t="s">
        <v>187</v>
      </c>
      <c r="G22" s="96">
        <v>2021</v>
      </c>
      <c r="H22" s="96" t="s">
        <v>186</v>
      </c>
      <c r="I22" s="96" t="s">
        <v>185</v>
      </c>
      <c r="J22" s="97">
        <v>2500000</v>
      </c>
      <c r="K22" s="97">
        <v>1500000</v>
      </c>
      <c r="L22" s="97">
        <v>1008366.48</v>
      </c>
      <c r="M22" s="97">
        <v>0</v>
      </c>
      <c r="N22" s="96">
        <v>40</v>
      </c>
      <c r="O22" s="96">
        <v>0</v>
      </c>
      <c r="P22" s="97">
        <v>187792.53</v>
      </c>
      <c r="Q22" s="97">
        <v>0</v>
      </c>
      <c r="R22" s="97">
        <v>1035635</v>
      </c>
      <c r="S22" s="96" t="s">
        <v>40</v>
      </c>
      <c r="T22" s="97">
        <v>1000000</v>
      </c>
      <c r="U22" s="97">
        <v>0</v>
      </c>
      <c r="V22" s="97">
        <v>0</v>
      </c>
      <c r="W22" s="97">
        <v>0</v>
      </c>
      <c r="X22" s="96" t="s">
        <v>174</v>
      </c>
      <c r="Y22" s="96" t="s">
        <v>130</v>
      </c>
      <c r="Z22" s="96" t="s">
        <v>129</v>
      </c>
      <c r="AA22" s="96">
        <v>9255312</v>
      </c>
      <c r="AB22" s="97">
        <v>1000000</v>
      </c>
      <c r="AC22" s="97">
        <v>8366.48</v>
      </c>
      <c r="AD22" s="97">
        <v>8366.48</v>
      </c>
      <c r="AE22" s="97">
        <v>4388.01</v>
      </c>
      <c r="AF22" s="96">
        <v>9245726</v>
      </c>
      <c r="AG22" s="97">
        <v>848135</v>
      </c>
      <c r="AH22" s="96" t="s">
        <v>128</v>
      </c>
      <c r="AI22" s="96">
        <v>1.03</v>
      </c>
      <c r="AJ22" s="96">
        <v>3.63</v>
      </c>
      <c r="AK22" s="96">
        <v>4.75</v>
      </c>
      <c r="AL22" s="96">
        <v>5.99</v>
      </c>
      <c r="AM22" s="96" t="s">
        <v>85</v>
      </c>
      <c r="AN22" s="96" t="s">
        <v>85</v>
      </c>
      <c r="AO22" s="96" t="s">
        <v>85</v>
      </c>
      <c r="AP22" s="96">
        <v>1.03</v>
      </c>
      <c r="AQ22" s="96">
        <v>1.0356350000000001</v>
      </c>
      <c r="AR22" s="96" t="s">
        <v>184</v>
      </c>
      <c r="AS22" s="96" t="s">
        <v>183</v>
      </c>
      <c r="AT22" s="96">
        <v>-13.23</v>
      </c>
      <c r="AU22" s="96">
        <v>16.86</v>
      </c>
      <c r="AV22" s="96">
        <v>0</v>
      </c>
      <c r="AW22" s="96">
        <v>0</v>
      </c>
      <c r="AX22" s="96">
        <v>3.63</v>
      </c>
    </row>
    <row r="23" spans="1:50">
      <c r="A23" s="96" t="s">
        <v>85</v>
      </c>
      <c r="B23" s="96" t="s">
        <v>85</v>
      </c>
      <c r="C23" s="96">
        <v>89183</v>
      </c>
      <c r="D23" s="96" t="s">
        <v>176</v>
      </c>
      <c r="E23" s="96">
        <v>0</v>
      </c>
      <c r="F23" s="96" t="s">
        <v>175</v>
      </c>
      <c r="G23" s="96">
        <v>2021</v>
      </c>
      <c r="H23" s="96" t="s">
        <v>132</v>
      </c>
      <c r="I23" s="96" t="s">
        <v>132</v>
      </c>
      <c r="J23" s="97">
        <v>2500000</v>
      </c>
      <c r="K23" s="97">
        <v>2500000</v>
      </c>
      <c r="L23" s="97">
        <v>0</v>
      </c>
      <c r="M23" s="97">
        <v>0</v>
      </c>
      <c r="N23" s="96">
        <v>0</v>
      </c>
      <c r="O23" s="96">
        <v>0</v>
      </c>
      <c r="P23" s="97">
        <v>0</v>
      </c>
      <c r="Q23" s="97">
        <v>0</v>
      </c>
      <c r="R23" s="97">
        <v>0</v>
      </c>
      <c r="S23" s="96" t="s">
        <v>40</v>
      </c>
      <c r="T23" s="97">
        <v>0</v>
      </c>
      <c r="U23" s="97">
        <v>0</v>
      </c>
      <c r="V23" s="97">
        <v>0</v>
      </c>
      <c r="W23" s="97">
        <v>0</v>
      </c>
      <c r="X23" s="96" t="s">
        <v>174</v>
      </c>
      <c r="Y23" s="96" t="s">
        <v>130</v>
      </c>
      <c r="Z23" s="96" t="s">
        <v>129</v>
      </c>
      <c r="AA23" s="96">
        <v>11528043</v>
      </c>
      <c r="AB23" s="97">
        <v>0</v>
      </c>
      <c r="AC23" s="97">
        <v>0</v>
      </c>
      <c r="AD23" s="97">
        <v>0</v>
      </c>
      <c r="AE23" s="97">
        <v>0</v>
      </c>
      <c r="AF23" s="96">
        <v>10678474</v>
      </c>
      <c r="AG23" s="97">
        <v>0</v>
      </c>
      <c r="AH23" s="96" t="s">
        <v>85</v>
      </c>
      <c r="AI23" s="96" t="s">
        <v>126</v>
      </c>
      <c r="AJ23" s="96" t="s">
        <v>126</v>
      </c>
      <c r="AK23" s="96" t="s">
        <v>126</v>
      </c>
      <c r="AL23" s="96" t="s">
        <v>126</v>
      </c>
      <c r="AM23" s="96" t="s">
        <v>126</v>
      </c>
      <c r="AN23" s="96" t="s">
        <v>126</v>
      </c>
      <c r="AO23" s="96" t="s">
        <v>126</v>
      </c>
      <c r="AP23" s="96" t="s">
        <v>126</v>
      </c>
      <c r="AQ23" s="96" t="s">
        <v>126</v>
      </c>
      <c r="AR23" s="96" t="s">
        <v>173</v>
      </c>
      <c r="AS23" s="96">
        <v>0</v>
      </c>
      <c r="AT23" s="96" t="s">
        <v>126</v>
      </c>
      <c r="AU23" s="96" t="s">
        <v>126</v>
      </c>
      <c r="AV23" s="96">
        <v>0</v>
      </c>
      <c r="AW23" s="96" t="s">
        <v>126</v>
      </c>
      <c r="AX23" s="96" t="s">
        <v>126</v>
      </c>
    </row>
    <row r="24" spans="1:50">
      <c r="A24" s="96" t="s">
        <v>85</v>
      </c>
      <c r="B24" s="96" t="s">
        <v>85</v>
      </c>
      <c r="C24" s="96">
        <v>89183</v>
      </c>
      <c r="D24" s="96" t="s">
        <v>198</v>
      </c>
      <c r="E24" s="96">
        <v>0</v>
      </c>
      <c r="F24" s="96" t="s">
        <v>197</v>
      </c>
      <c r="G24" s="96">
        <v>2019</v>
      </c>
      <c r="H24" s="96" t="s">
        <v>196</v>
      </c>
      <c r="I24" s="96" t="s">
        <v>195</v>
      </c>
      <c r="J24" s="97">
        <v>2500000</v>
      </c>
      <c r="K24" s="97">
        <v>2027094.74</v>
      </c>
      <c r="L24" s="97">
        <v>2007170.17</v>
      </c>
      <c r="M24" s="97">
        <v>2519372.6800000002</v>
      </c>
      <c r="N24" s="96">
        <v>80</v>
      </c>
      <c r="O24" s="96">
        <v>1.2551863901006459</v>
      </c>
      <c r="P24" s="97">
        <v>984.14</v>
      </c>
      <c r="Q24" s="97">
        <v>29812.41</v>
      </c>
      <c r="R24" s="97">
        <v>35615.089999999997</v>
      </c>
      <c r="S24" s="96" t="s">
        <v>40</v>
      </c>
      <c r="T24" s="97">
        <v>472905.26</v>
      </c>
      <c r="U24" s="97">
        <v>992168.33</v>
      </c>
      <c r="V24" s="97">
        <v>1527094.74</v>
      </c>
      <c r="W24" s="97">
        <v>992277.94</v>
      </c>
      <c r="X24" s="96" t="s">
        <v>174</v>
      </c>
      <c r="Y24" s="96">
        <v>0</v>
      </c>
      <c r="Z24" s="96">
        <v>0</v>
      </c>
      <c r="AA24" s="96">
        <v>8069235</v>
      </c>
      <c r="AB24" s="97">
        <v>2000000</v>
      </c>
      <c r="AC24" s="97">
        <v>7170.17</v>
      </c>
      <c r="AD24" s="97">
        <v>7060.56</v>
      </c>
      <c r="AE24" s="97">
        <v>5764.26</v>
      </c>
      <c r="AF24" s="96">
        <v>8068096</v>
      </c>
      <c r="AG24" s="97">
        <v>65427.5</v>
      </c>
      <c r="AH24" s="96" t="s">
        <v>128</v>
      </c>
      <c r="AI24" s="96">
        <v>1.27</v>
      </c>
      <c r="AJ24" s="96">
        <v>21.41</v>
      </c>
      <c r="AK24" s="96">
        <v>21.71</v>
      </c>
      <c r="AL24" s="96">
        <v>-11.3</v>
      </c>
      <c r="AM24" s="96" t="s">
        <v>85</v>
      </c>
      <c r="AN24" s="96" t="s">
        <v>85</v>
      </c>
      <c r="AO24" s="96" t="s">
        <v>85</v>
      </c>
      <c r="AP24" s="96">
        <v>1.27</v>
      </c>
      <c r="AQ24" s="96">
        <v>1.2774390799999999</v>
      </c>
      <c r="AR24" s="96" t="s">
        <v>194</v>
      </c>
      <c r="AS24" s="96" t="s">
        <v>183</v>
      </c>
      <c r="AT24" s="96">
        <v>19.62</v>
      </c>
      <c r="AU24" s="96">
        <v>1.79</v>
      </c>
      <c r="AV24" s="96">
        <v>0</v>
      </c>
      <c r="AW24" s="96">
        <v>0</v>
      </c>
      <c r="AX24" s="96">
        <v>21.41</v>
      </c>
    </row>
  </sheetData>
  <autoFilter ref="C2:AX24" xr:uid="{326EA015-973C-4A98-8129-934BF29BDECD}">
    <sortState xmlns:xlrd2="http://schemas.microsoft.com/office/spreadsheetml/2017/richdata2" ref="C3:AX24">
      <sortCondition ref="D2:D24"/>
    </sortState>
  </autoFilter>
  <mergeCells count="3">
    <mergeCell ref="C1:AF1"/>
    <mergeCell ref="AG1:AR1"/>
    <mergeCell ref="AS1:AX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itchProPlusData>
  <PitchProShapeProperty_4607022_Version>2</PitchProShapeProperty_4607022_Version>
  <PitchProShapeProperty_17547868_Version>2</PitchProShapeProperty_17547868_Version>
  <PitchProShapeProperty_48570174_Version>2</PitchProShapeProperty_48570174_Version>
  <PitchProShapeProperty_58294676_Version>2</PitchProShapeProperty_58294676_Version>
</PitchProPlusData>
</file>

<file path=customXml/itemProps1.xml><?xml version="1.0" encoding="utf-8"?>
<ds:datastoreItem xmlns:ds="http://schemas.openxmlformats.org/officeDocument/2006/customXml" ds:itemID="{AFC05ACE-46B7-4B54-9FA5-FD3E5ABD34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Analysis</vt:lpstr>
      <vt:lpstr>Drawdown only</vt:lpstr>
      <vt:lpstr>Evergreen only</vt:lpstr>
      <vt:lpstr>Drawdown+reinvestment</vt:lpstr>
      <vt:lpstr>Drawdown+Evergreen from start</vt:lpstr>
      <vt:lpstr>LTCMAs</vt:lpstr>
      <vt:lpstr>Aggregated Median CA data</vt:lpstr>
      <vt:lpstr>Global Buyout</vt:lpstr>
      <vt:lpstr>Global Growth Equity</vt:lpstr>
      <vt:lpstr>Global Venture Capital</vt:lpstr>
      <vt:lpstr>Global Fund of Funds</vt:lpstr>
      <vt:lpstr>Global Secondary Funds</vt:lpstr>
      <vt:lpstr>Global Private Credit</vt:lpstr>
      <vt:lpstr>Global Real Estate</vt:lpstr>
      <vt:lpstr>mapping</vt:lpstr>
      <vt:lpstr>NAV</vt:lpstr>
      <vt:lpstr>Paid in</vt:lpstr>
      <vt:lpstr>Distributed</vt:lpstr>
      <vt:lpstr>Exported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Lenning, Benjamin A</dc:creator>
  <cp:lastModifiedBy>Fegan, Adam (WM, GBR)</cp:lastModifiedBy>
  <dcterms:created xsi:type="dcterms:W3CDTF">2020-07-29T20:27:18Z</dcterms:created>
  <dcterms:modified xsi:type="dcterms:W3CDTF">2025-10-30T18:29:56Z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itchProPlusUniqueWorkbookId">
    <vt:lpwstr>84b30b77-8934-461c-b87f-2944c0908182</vt:lpwstr>
  </property>
</Properties>
</file>